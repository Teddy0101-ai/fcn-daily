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9200" windowHeight="11340" activeTab="3"/>
  </bookViews>
  <sheets>
    <sheet name="Tickers" sheetId="1" r:id="rId1"/>
    <sheet name="HKD" sheetId="2" r:id="rId2"/>
    <sheet name="USD" sheetId="3" r:id="rId3"/>
    <sheet name="今日重点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3" l="1"/>
  <c r="K32" i="3"/>
  <c r="K2" i="3"/>
  <c r="K7" i="3"/>
  <c r="K26" i="3"/>
  <c r="K29" i="3"/>
  <c r="K8" i="3"/>
  <c r="K4" i="3"/>
  <c r="K6" i="3"/>
  <c r="K9" i="3"/>
  <c r="K19" i="3"/>
  <c r="K18" i="3"/>
  <c r="K31" i="3"/>
  <c r="K24" i="3"/>
  <c r="K23" i="3"/>
  <c r="K30" i="3"/>
  <c r="K22" i="3"/>
  <c r="K12" i="3"/>
  <c r="K16" i="3"/>
  <c r="K27" i="3"/>
  <c r="K5" i="3"/>
  <c r="K25" i="3"/>
  <c r="K28" i="3"/>
  <c r="K20" i="3"/>
  <c r="K17" i="3"/>
  <c r="K10" i="3"/>
  <c r="K15" i="3"/>
  <c r="K11" i="3"/>
  <c r="K13" i="3"/>
  <c r="K21" i="3"/>
  <c r="K14" i="3"/>
  <c r="K7" i="2"/>
  <c r="K8" i="2"/>
  <c r="K9" i="2"/>
  <c r="K17" i="2"/>
  <c r="K10" i="2"/>
  <c r="K3" i="2"/>
  <c r="K16" i="2"/>
  <c r="K5" i="2"/>
  <c r="K6" i="2"/>
  <c r="K13" i="2"/>
  <c r="K18" i="2"/>
  <c r="K19" i="2"/>
  <c r="K2" i="2"/>
  <c r="K12" i="2"/>
  <c r="K4" i="2"/>
  <c r="K15" i="2"/>
  <c r="K21" i="2"/>
  <c r="K14" i="2"/>
  <c r="K11" i="2"/>
  <c r="K20" i="2"/>
</calcChain>
</file>

<file path=xl/sharedStrings.xml><?xml version="1.0" encoding="utf-8"?>
<sst xmlns="http://schemas.openxmlformats.org/spreadsheetml/2006/main" count="935" uniqueCount="340">
  <si>
    <t>17 HK</t>
  </si>
  <si>
    <t>新世界发展</t>
  </si>
  <si>
    <t>175 HK</t>
  </si>
  <si>
    <t>吉利汽车</t>
  </si>
  <si>
    <t>9618 HK</t>
  </si>
  <si>
    <t>京东</t>
  </si>
  <si>
    <t>1024 HK</t>
  </si>
  <si>
    <t>快手科技</t>
  </si>
  <si>
    <t>3690 HK</t>
  </si>
  <si>
    <t>美团</t>
  </si>
  <si>
    <t>1810 HK</t>
  </si>
  <si>
    <t>小米</t>
  </si>
  <si>
    <t>9888 HK</t>
  </si>
  <si>
    <t>百度</t>
  </si>
  <si>
    <t>1211 HK</t>
  </si>
  <si>
    <t>比亚迪</t>
  </si>
  <si>
    <t>2318 HK</t>
  </si>
  <si>
    <t>中国平安保险</t>
  </si>
  <si>
    <t>27 HK</t>
  </si>
  <si>
    <t>银河娱乐</t>
  </si>
  <si>
    <t>688 HK</t>
  </si>
  <si>
    <t>中国海外发展</t>
  </si>
  <si>
    <t>700 HK</t>
  </si>
  <si>
    <t>腾讯控股</t>
  </si>
  <si>
    <t>9988 HK</t>
  </si>
  <si>
    <t>阿里巴巴</t>
  </si>
  <si>
    <t>3033 HK</t>
  </si>
  <si>
    <t>南方恒生科技指数ETF</t>
  </si>
  <si>
    <t>288 HK</t>
  </si>
  <si>
    <t>万洲国际</t>
  </si>
  <si>
    <t>MSTR UQ</t>
  </si>
  <si>
    <t>SMCI UW</t>
  </si>
  <si>
    <t>超微计算机</t>
  </si>
  <si>
    <t>NIO UN</t>
  </si>
  <si>
    <t>蔚来</t>
  </si>
  <si>
    <t>IQ UQ</t>
  </si>
  <si>
    <t>爱奇艺</t>
  </si>
  <si>
    <t>PLTR UW</t>
  </si>
  <si>
    <t>帕兰提尔科技</t>
  </si>
  <si>
    <t>FUTU UQ</t>
  </si>
  <si>
    <t>富途控股</t>
  </si>
  <si>
    <t>TSLA UQ</t>
  </si>
  <si>
    <t>特斯拉</t>
  </si>
  <si>
    <t>INTC UQ</t>
  </si>
  <si>
    <t>英特尔</t>
  </si>
  <si>
    <t>MU UQ</t>
  </si>
  <si>
    <t>美光科技</t>
  </si>
  <si>
    <t>NVDA UQ</t>
  </si>
  <si>
    <t>英伟达</t>
  </si>
  <si>
    <t>JD UQ</t>
  </si>
  <si>
    <t>PDD UQ</t>
  </si>
  <si>
    <t>拼多多</t>
  </si>
  <si>
    <t>TME UN</t>
  </si>
  <si>
    <t>腾讯音乐</t>
  </si>
  <si>
    <t>SNOW UN</t>
  </si>
  <si>
    <t>Snowflake Inc.</t>
  </si>
  <si>
    <t>AMD UQ</t>
  </si>
  <si>
    <t>超威半导体</t>
  </si>
  <si>
    <t>NTES UQ</t>
  </si>
  <si>
    <t>网易</t>
  </si>
  <si>
    <t>ADBE UQ</t>
  </si>
  <si>
    <t>奥多比</t>
  </si>
  <si>
    <t>BIDU UQ</t>
  </si>
  <si>
    <t>TSM UN</t>
  </si>
  <si>
    <t>台积电</t>
  </si>
  <si>
    <t>ZM UQ</t>
  </si>
  <si>
    <t>CRM UN</t>
  </si>
  <si>
    <t>BABA UN</t>
  </si>
  <si>
    <t>META UQ</t>
  </si>
  <si>
    <t>Meta</t>
  </si>
  <si>
    <t>NFLX UQ</t>
  </si>
  <si>
    <t>网飞</t>
  </si>
  <si>
    <t>微策略</t>
  </si>
  <si>
    <t>Zoom视频</t>
  </si>
  <si>
    <t>赛富时</t>
  </si>
  <si>
    <t>Quote ID</t>
  </si>
  <si>
    <t>Product</t>
  </si>
  <si>
    <t>CCY</t>
  </si>
  <si>
    <t>Tenor</t>
  </si>
  <si>
    <t>Strike Date</t>
  </si>
  <si>
    <t>Issue Date</t>
  </si>
  <si>
    <t>Final Valuation Date</t>
  </si>
  <si>
    <t>Maturity Date</t>
  </si>
  <si>
    <t>Underlying (Reuters)</t>
  </si>
  <si>
    <t>Underlying (BBG) Indicative</t>
  </si>
  <si>
    <t>Underlying Name</t>
  </si>
  <si>
    <t>Strike %</t>
  </si>
  <si>
    <t>Coupon % p.a.</t>
  </si>
  <si>
    <t>Coupon Frequency</t>
  </si>
  <si>
    <t>KO %</t>
  </si>
  <si>
    <t>KO Type</t>
  </si>
  <si>
    <t>First Callable End of Period</t>
  </si>
  <si>
    <t>KI %</t>
  </si>
  <si>
    <t>KI Type</t>
  </si>
  <si>
    <t>Min/Max Notional</t>
  </si>
  <si>
    <t>Issuer</t>
  </si>
  <si>
    <t>Interbank Price %</t>
  </si>
  <si>
    <t>TSM.N</t>
  </si>
  <si>
    <t>VLOOKUP(J2,Tickers!A:B,2,false)</t>
  </si>
  <si>
    <t>AMZN UQ</t>
  </si>
  <si>
    <t>GOOGL UQ</t>
  </si>
  <si>
    <t>ACN UN</t>
  </si>
  <si>
    <t>埃森哲</t>
  </si>
  <si>
    <t>NOW UN</t>
  </si>
  <si>
    <t>ServiceNow</t>
  </si>
  <si>
    <t>1928 HK</t>
  </si>
  <si>
    <t>金沙中国</t>
  </si>
  <si>
    <t>9961 HK</t>
  </si>
  <si>
    <t>携程</t>
  </si>
  <si>
    <t>SOXX UQ</t>
  </si>
  <si>
    <t>ishares-半导体ETF</t>
  </si>
  <si>
    <t>XLE UP</t>
  </si>
  <si>
    <t>能源精选行业SPDR基金</t>
  </si>
  <si>
    <t>NVO.N</t>
  </si>
  <si>
    <t>诺和诺德</t>
  </si>
  <si>
    <t>LLY.N</t>
  </si>
  <si>
    <t>礼来公司</t>
  </si>
  <si>
    <t>IBIT UQ</t>
  </si>
  <si>
    <t>比特币信托 ETF</t>
  </si>
  <si>
    <t>COIN UQ</t>
  </si>
  <si>
    <t>Coinbase</t>
  </si>
  <si>
    <t>GS UN</t>
  </si>
  <si>
    <t>高盛</t>
  </si>
  <si>
    <t>WFC UN</t>
  </si>
  <si>
    <t>富国银行</t>
  </si>
  <si>
    <t>JPM UN</t>
  </si>
  <si>
    <t>摩根大通</t>
  </si>
  <si>
    <t>C UN</t>
  </si>
  <si>
    <t>花旗银行</t>
  </si>
  <si>
    <t xml:space="preserve">939 HK </t>
  </si>
  <si>
    <t>中国建设银行</t>
  </si>
  <si>
    <t>1398 HK</t>
  </si>
  <si>
    <t>中国工商银行</t>
  </si>
  <si>
    <t>3968 HK</t>
  </si>
  <si>
    <t>招商银行</t>
  </si>
  <si>
    <t>1299 HK</t>
  </si>
  <si>
    <t>友邦保险</t>
  </si>
  <si>
    <t>388 HK</t>
  </si>
  <si>
    <t>港交所</t>
  </si>
  <si>
    <t>AVGO UQ</t>
  </si>
  <si>
    <t>博通</t>
  </si>
  <si>
    <t>亚马逊</t>
  </si>
  <si>
    <t>SPY UP</t>
  </si>
  <si>
    <r>
      <rPr>
        <sz val="11"/>
        <rFont val="宋体-简"/>
        <charset val="134"/>
      </rPr>
      <t>标普</t>
    </r>
    <r>
      <rPr>
        <sz val="11"/>
        <rFont val="Calibri"/>
        <family val="2"/>
      </rPr>
      <t>500 ETF</t>
    </r>
  </si>
  <si>
    <t>QQQ UQ</t>
  </si>
  <si>
    <r>
      <rPr>
        <sz val="11"/>
        <rFont val="宋体-简"/>
        <charset val="134"/>
      </rPr>
      <t>纳斯达克</t>
    </r>
    <r>
      <rPr>
        <sz val="11"/>
        <rFont val="Calibri"/>
        <family val="2"/>
      </rPr>
      <t>100 ETF</t>
    </r>
  </si>
  <si>
    <t>MS UN</t>
  </si>
  <si>
    <t>摩根士丹利</t>
  </si>
  <si>
    <t>谷歌</t>
  </si>
  <si>
    <t>Underlying Name (Translated)</t>
  </si>
  <si>
    <t>2828 HK</t>
  </si>
  <si>
    <t>386 HK</t>
  </si>
  <si>
    <t>5 HK</t>
  </si>
  <si>
    <t>1288 HK</t>
  </si>
  <si>
    <t>883 HK</t>
  </si>
  <si>
    <t>2800 HK</t>
  </si>
  <si>
    <t>939 HK</t>
  </si>
  <si>
    <t>8 HK</t>
  </si>
  <si>
    <t>1 HK</t>
  </si>
  <si>
    <t>3988 HK</t>
  </si>
  <si>
    <t>2388 HK</t>
  </si>
  <si>
    <t>941 HK</t>
  </si>
  <si>
    <t>2 HK</t>
  </si>
  <si>
    <t>汇丰控股</t>
  </si>
  <si>
    <t>中石化</t>
  </si>
  <si>
    <t>农业银行</t>
  </si>
  <si>
    <t>中海油</t>
  </si>
  <si>
    <t>盈富基金</t>
  </si>
  <si>
    <t>建设银行</t>
  </si>
  <si>
    <t>电讯盈科</t>
  </si>
  <si>
    <t>长和集团</t>
  </si>
  <si>
    <t>中国银行</t>
  </si>
  <si>
    <t>中银香港</t>
  </si>
  <si>
    <t>中国移动</t>
  </si>
  <si>
    <t>中电控股</t>
  </si>
  <si>
    <t>恒生中国企业指数 ETF</t>
  </si>
  <si>
    <t>BAC UN</t>
  </si>
  <si>
    <t>美国银行</t>
  </si>
  <si>
    <t>AAPL UQ</t>
  </si>
  <si>
    <t>苹果</t>
  </si>
  <si>
    <t>MSFT UQ</t>
  </si>
  <si>
    <t>微软</t>
  </si>
  <si>
    <t>PLTR UQ</t>
  </si>
  <si>
    <t>Palantir</t>
  </si>
  <si>
    <t>RFN264D00BW000DKQ4U2</t>
  </si>
  <si>
    <t>FCN</t>
  </si>
  <si>
    <t>HKD</t>
  </si>
  <si>
    <t>6M</t>
  </si>
  <si>
    <t>0700.HK</t>
  </si>
  <si>
    <t>Monthly</t>
  </si>
  <si>
    <t>Daily Close</t>
  </si>
  <si>
    <t>N/A</t>
  </si>
  <si>
    <t/>
  </si>
  <si>
    <t>Please check with Dealer / HKD 79.11M</t>
  </si>
  <si>
    <t>CITIC</t>
  </si>
  <si>
    <t>RFN264D00BW000DKQ4UM</t>
  </si>
  <si>
    <t>9988.HK</t>
  </si>
  <si>
    <t>HKD 2M / HKD 8M</t>
  </si>
  <si>
    <t>LEONTEQ</t>
  </si>
  <si>
    <t>RFN264D00BW000DKQ4VR</t>
  </si>
  <si>
    <t>1810.HK</t>
  </si>
  <si>
    <t>RFN264D00BW000DKQ4WA</t>
  </si>
  <si>
    <t>3690.HK</t>
  </si>
  <si>
    <t>RFN264D00BW000DKQ4WV</t>
  </si>
  <si>
    <t>3033.HK</t>
  </si>
  <si>
    <t>Please check with Dealer / HKD 39.94M</t>
  </si>
  <si>
    <t>Please check with Dealer / HKD 24.28M</t>
  </si>
  <si>
    <t>RFN264D00BW000DKQ4XZ</t>
  </si>
  <si>
    <t>9618.HK</t>
  </si>
  <si>
    <t>RFN264D00BW000DKQ4YJ</t>
  </si>
  <si>
    <t>1024.HK</t>
  </si>
  <si>
    <t>RFN264D00BW000DKQ4Z3</t>
  </si>
  <si>
    <t>0883.HK</t>
  </si>
  <si>
    <t>RFN264D00BW000DKQ4ZN</t>
  </si>
  <si>
    <t>9888.HK</t>
  </si>
  <si>
    <t>RFN264D00BW000DKQ51B</t>
  </si>
  <si>
    <t>1211.HK</t>
  </si>
  <si>
    <t>RFN264D00BW000DKQ52F</t>
  </si>
  <si>
    <t>2318.HK</t>
  </si>
  <si>
    <t>RFN264D00BW000DKQ53K</t>
  </si>
  <si>
    <t>0005.HK</t>
  </si>
  <si>
    <t>HKD 2M / HKD 23.49M</t>
  </si>
  <si>
    <t>RFN264D00BW000DKQ544</t>
  </si>
  <si>
    <t>0001.HK</t>
  </si>
  <si>
    <t>HSBC</t>
  </si>
  <si>
    <t>RFN264D00BW000DKQ56C</t>
  </si>
  <si>
    <t>0017.HK</t>
  </si>
  <si>
    <t>RFN264D00BW000DKQ56X</t>
  </si>
  <si>
    <t>0027.HK</t>
  </si>
  <si>
    <t>HKD 2M / HKD 15.66M</t>
  </si>
  <si>
    <t>BNPP</t>
  </si>
  <si>
    <t>RFN264D00BW000DKQ57G</t>
  </si>
  <si>
    <t>0175.HK</t>
  </si>
  <si>
    <t>HKD 2M / HKD 15.7M</t>
  </si>
  <si>
    <t>JPM</t>
  </si>
  <si>
    <t>RFN264D00BW000DKQ581</t>
  </si>
  <si>
    <t>0288.HK</t>
  </si>
  <si>
    <t>RFN264D00BW000DKQ58L</t>
  </si>
  <si>
    <t>0386.HK</t>
  </si>
  <si>
    <t>RFN264D00BW000DKQ59Q</t>
  </si>
  <si>
    <t>0688.HK</t>
  </si>
  <si>
    <t>RFN264D00BW000DKQ5AU</t>
  </si>
  <si>
    <t>1299.HK</t>
  </si>
  <si>
    <t>RFN264D00BL000DKQ491</t>
  </si>
  <si>
    <t>USD</t>
  </si>
  <si>
    <t>TSLA.OQ</t>
  </si>
  <si>
    <t>USD 200K / USD 5M</t>
  </si>
  <si>
    <t>RFN264D00BL000DKQ49L</t>
  </si>
  <si>
    <t>MSTR.OQ</t>
  </si>
  <si>
    <t>GS</t>
  </si>
  <si>
    <t>RFN264D00BL000DKQ4AQ</t>
  </si>
  <si>
    <t>MSFT.OQ</t>
  </si>
  <si>
    <t>USD 300K / USD 2M</t>
  </si>
  <si>
    <t>CITI</t>
  </si>
  <si>
    <t>RFN264D00BL000DKQ4BU</t>
  </si>
  <si>
    <t>SMCI.OQ</t>
  </si>
  <si>
    <t>RFN264D00BL000DKQ4CD</t>
  </si>
  <si>
    <t>NIO.N</t>
  </si>
  <si>
    <t>RFN264D00BL000DKQ4CY</t>
  </si>
  <si>
    <t>AMZN.OQ</t>
  </si>
  <si>
    <t>RFN264D00BL000DKQ4DH</t>
  </si>
  <si>
    <t>GOOGL.OQ</t>
  </si>
  <si>
    <t>RFN264D00BL000DKQ4E2</t>
  </si>
  <si>
    <t>PLTR.OQ</t>
  </si>
  <si>
    <t>RFN264D00BL000DKQ4EM</t>
  </si>
  <si>
    <t>SNOW.N</t>
  </si>
  <si>
    <t>USD 300K / USD 3M</t>
  </si>
  <si>
    <t>UBS</t>
  </si>
  <si>
    <t>RFN264D00BL000DKQ4F6</t>
  </si>
  <si>
    <t>INTC.OQ</t>
  </si>
  <si>
    <t>RFN264D00BL000DKQ4FR</t>
  </si>
  <si>
    <t>AMD.OQ</t>
  </si>
  <si>
    <t>RFN264D00BL000DKQ4GA</t>
  </si>
  <si>
    <t>BABA.N</t>
  </si>
  <si>
    <t>USD 200K / USD 20M</t>
  </si>
  <si>
    <t>RFN264D00BL000DKQ4GV</t>
  </si>
  <si>
    <t>BIDU.OQ</t>
  </si>
  <si>
    <t>Please check with Dealer / USD 10.1M</t>
  </si>
  <si>
    <t>RFN264D00BL000DKQ4HE</t>
  </si>
  <si>
    <t>BAC.N</t>
  </si>
  <si>
    <t>RFN264D00BL000DKQ4HZ</t>
  </si>
  <si>
    <t>C.N</t>
  </si>
  <si>
    <t>RFN264D00BL000DKQ4JJ</t>
  </si>
  <si>
    <t>META.OQ</t>
  </si>
  <si>
    <t>RFN264D00BL000DKQ4K3</t>
  </si>
  <si>
    <t>GS.N</t>
  </si>
  <si>
    <t>RFN264D00BL000DKQ4KN</t>
  </si>
  <si>
    <t>JD.OQ</t>
  </si>
  <si>
    <t>RFN264D00BL000DKQ4LS</t>
  </si>
  <si>
    <t>CRM.N</t>
  </si>
  <si>
    <t>RFN264D00BL000DKQ4MB</t>
  </si>
  <si>
    <t>ADBE.OQ</t>
  </si>
  <si>
    <t>Please check with Dealer / USD 5.1M</t>
  </si>
  <si>
    <t>RFN264D00BL000DKQ4MW</t>
  </si>
  <si>
    <t>MS.N</t>
  </si>
  <si>
    <t>RFN264D00BL000DKQ4NF</t>
  </si>
  <si>
    <t>MU.OQ</t>
  </si>
  <si>
    <t>RFN264D00BL000DKQ4P0</t>
  </si>
  <si>
    <t>NTES.OQ</t>
  </si>
  <si>
    <t>RFN264D00BL000DKQ4PK</t>
  </si>
  <si>
    <t>NFLX.OQ</t>
  </si>
  <si>
    <t>RFN264D00BL000DKQ4Q4</t>
  </si>
  <si>
    <t>NVDA.OQ</t>
  </si>
  <si>
    <t>RFN264D00BL000DKQ4QP</t>
  </si>
  <si>
    <t>RFN264D00BL000DKQ4R8</t>
  </si>
  <si>
    <t>IQ.OQ</t>
  </si>
  <si>
    <t>USD 100K / USD 5M</t>
  </si>
  <si>
    <t>RFN264D00BL000DKQ4RT</t>
  </si>
  <si>
    <t>ZM.OQ</t>
  </si>
  <si>
    <t>RFN264D00BL000DKQ4SC</t>
  </si>
  <si>
    <t>FUTU.OQ</t>
  </si>
  <si>
    <t>RFN264D00BL000DKQ4SX</t>
  </si>
  <si>
    <t>TME.N</t>
  </si>
  <si>
    <t>RFN264D00BL000DKQ4TG</t>
  </si>
  <si>
    <t>PDD.OQ</t>
  </si>
  <si>
    <t>USD 150K / USD 11.73M</t>
  </si>
  <si>
    <t>CACIB</t>
  </si>
  <si>
    <t>RFN264D00XG000DKQ8UE</t>
  </si>
  <si>
    <t>Daily Close Memory</t>
  </si>
  <si>
    <t>Please check with Dealer</t>
  </si>
  <si>
    <t>MAREX</t>
  </si>
  <si>
    <t>RFN264D00XG000DKQ8XS</t>
  </si>
  <si>
    <t>RFN264D00XG000DKQ900</t>
  </si>
  <si>
    <t>RFN264D00XG000DKQ8TA</t>
  </si>
  <si>
    <t>RFN264D00XG000DKQ9A2</t>
  </si>
  <si>
    <t>AMZN.OQ + MSFT.OQ</t>
  </si>
  <si>
    <t>AMZN UQ + MSFT UQ</t>
  </si>
  <si>
    <t>亚马逊 + 微软</t>
  </si>
  <si>
    <t>META.OQ + MSFT.OQ</t>
  </si>
  <si>
    <t>META UQ + MSFT UQ</t>
  </si>
  <si>
    <t>Meta + 微软</t>
  </si>
  <si>
    <t>GOOGL.OQ + NVDA.OQ</t>
  </si>
  <si>
    <t>GOOGL UQ + NVDA UQ</t>
  </si>
  <si>
    <t>Alphabet + 英伟达</t>
  </si>
  <si>
    <t>AMZN.OQ + AVGO.OQ</t>
  </si>
  <si>
    <t>AMZN UQ + AVGO UQ</t>
  </si>
  <si>
    <t>亚马逊 + 博通</t>
  </si>
  <si>
    <t>AMZN.OQ + META.OQ + NVDA.OQ</t>
  </si>
  <si>
    <t>AMZN UQ + META UQ + NVDA UQ</t>
  </si>
  <si>
    <t>亚马逊 + Meta + 英伟达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</si>
</sst>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\-mmm\-yy"/>
    <numFmt numFmtId="165" formatCode="#"/>
    <numFmt numFmtId="166" formatCode="yyyy\-mm\-dd"/>
  </numFmts>
  <fonts count="1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rgb="FFFF0000"/>
      <name val="Calibri"/>
      <family val="2"/>
    </font>
    <font>
      <sz val="11"/>
      <name val="宋体-简"/>
      <charset val="134"/>
    </font>
    <font>
      <sz val="11"/>
      <color theme="1"/>
      <name val="PingFang SC Regular"/>
      <charset val="134"/>
    </font>
    <font>
      <sz val="11"/>
      <name val="PingFang SC Regular"/>
      <charset val="134"/>
    </font>
    <font>
      <b/>
      <sz val="1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ADD8E6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7A8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9" fillId="0" borderId="0"/>
    <xf numFmtId="0" fontId="1" fillId="0" borderId="0"/>
  </cellStyleXfs>
  <cellXfs count="37">
    <xf numFmtId="0" fontId="0" fillId="0" borderId="0" xfId="0"/>
    <xf numFmtId="0" fontId="2" fillId="0" borderId="0" xfId="0" applyFont="1" applyAlignment="1">
      <alignment wrapText="1"/>
    </xf>
    <xf numFmtId="0" fontId="0" fillId="0" borderId="0" xfId="0"/>
    <xf numFmtId="15" fontId="1" fillId="0" borderId="0" xfId="0" applyNumberFormat="1" applyFont="1" applyFill="1" applyAlignment="1">
      <alignment wrapText="1"/>
    </xf>
    <xf numFmtId="15" fontId="3" fillId="0" borderId="0" xfId="0" applyNumberFormat="1" applyFont="1" applyFill="1" applyAlignment="1">
      <alignment wrapText="1"/>
    </xf>
    <xf numFmtId="0" fontId="4" fillId="0" borderId="0" xfId="0" applyFont="1"/>
    <xf numFmtId="15" fontId="5" fillId="0" borderId="0" xfId="0" applyNumberFormat="1" applyFont="1" applyAlignment="1">
      <alignment wrapText="1"/>
    </xf>
    <xf numFmtId="0" fontId="4" fillId="0" borderId="0" xfId="0" applyFont="1" applyAlignment="1">
      <alignment vertical="center" wrapText="1"/>
    </xf>
    <xf numFmtId="15" fontId="5" fillId="0" borderId="0" xfId="0" applyNumberFormat="1" applyFont="1" applyFill="1" applyAlignment="1">
      <alignment wrapText="1"/>
    </xf>
    <xf numFmtId="0" fontId="0" fillId="0" borderId="0" xfId="0" applyFont="1"/>
    <xf numFmtId="0" fontId="6" fillId="0" borderId="0" xfId="0" applyFont="1" applyAlignment="1">
      <alignment wrapText="1"/>
    </xf>
    <xf numFmtId="0" fontId="6" fillId="2" borderId="0" xfId="0" applyFont="1" applyFill="1" applyAlignment="1">
      <alignment wrapText="1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15" fontId="7" fillId="0" borderId="0" xfId="1" applyNumberFormat="1" applyFont="1" applyAlignment="1">
      <alignment wrapText="1"/>
    </xf>
    <xf numFmtId="166" fontId="6" fillId="0" borderId="0" xfId="0" applyNumberFormat="1" applyFont="1" applyAlignment="1">
      <alignment wrapText="1"/>
    </xf>
    <xf numFmtId="166" fontId="0" fillId="0" borderId="0" xfId="0" applyNumberFormat="1"/>
    <xf numFmtId="0" fontId="0" fillId="4" borderId="0" xfId="0" applyFill="1"/>
    <xf numFmtId="0" fontId="10" fillId="0" borderId="0" xfId="0" applyFont="1" applyAlignment="1">
      <alignment wrapText="1"/>
    </xf>
    <xf numFmtId="164" fontId="10" fillId="0" borderId="0" xfId="0" applyNumberFormat="1" applyFont="1" applyAlignment="1">
      <alignment wrapText="1"/>
    </xf>
    <xf numFmtId="4" fontId="10" fillId="0" borderId="0" xfId="0" applyNumberFormat="1" applyFont="1" applyAlignment="1">
      <alignment wrapText="1"/>
    </xf>
    <xf numFmtId="165" fontId="10" fillId="0" borderId="0" xfId="0" applyNumberFormat="1" applyFont="1" applyAlignment="1">
      <alignment wrapText="1"/>
    </xf>
    <xf numFmtId="0" fontId="0" fillId="5" borderId="0" xfId="0" applyFill="1" applyAlignment="1"/>
    <xf numFmtId="0" fontId="0" fillId="0" borderId="0" xfId="0" applyAlignment="1"/>
    <xf numFmtId="0" fontId="1" fillId="5" borderId="0" xfId="2" applyFill="1"/>
    <xf numFmtId="166" fontId="10" fillId="0" borderId="0" xfId="0" applyNumberFormat="1" applyFont="1" applyAlignment="1">
      <alignment wrapText="1"/>
    </xf>
    <xf numFmtId="2" fontId="10" fillId="0" borderId="0" xfId="0" applyNumberFormat="1" applyFont="1" applyAlignment="1">
      <alignment wrapText="1"/>
    </xf>
    <xf numFmtId="2" fontId="10" fillId="3" borderId="0" xfId="0" applyNumberFormat="1" applyFont="1" applyFill="1" applyAlignment="1">
      <alignment wrapText="1"/>
    </xf>
    <xf numFmtId="166" fontId="0" fillId="5" borderId="0" xfId="0" applyNumberFormat="1" applyFill="1" applyAlignment="1"/>
    <xf numFmtId="166" fontId="1" fillId="5" borderId="0" xfId="2" applyNumberFormat="1" applyFill="1"/>
    <xf numFmtId="2" fontId="0" fillId="5" borderId="0" xfId="0" applyNumberFormat="1" applyFill="1" applyAlignment="1"/>
    <xf numFmtId="2" fontId="1" fillId="5" borderId="0" xfId="2" applyNumberFormat="1" applyFill="1"/>
    <xf numFmtId="2" fontId="0" fillId="3" borderId="0" xfId="0" applyNumberFormat="1" applyFill="1" applyAlignment="1"/>
    <xf numFmtId="2" fontId="1" fillId="3" borderId="0" xfId="2" applyNumberFormat="1" applyFill="1"/>
    <xf numFmtId="0" fontId="0" fillId="4" borderId="0" xfId="0" applyFill="1" applyAlignment="1"/>
    <xf numFmtId="166" fontId="0" fillId="4" borderId="0" xfId="0" applyNumberFormat="1" applyFill="1" applyAlignment="1"/>
    <xf numFmtId="2" fontId="0" fillId="4" borderId="0" xfId="0" applyNumberFormat="1" applyFill="1" applyAlignment="1"/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4"/>
  <sheetViews>
    <sheetView zoomScale="85" zoomScaleNormal="85" workbookViewId="0">
      <selection activeCell="AB75" sqref="AB75"/>
    </sheetView>
  </sheetViews>
  <sheetFormatPr defaultRowHeight="15"/>
  <cols>
    <col min="1" max="1" width="30" customWidth="1"/>
    <col min="2" max="2" width="42.140625" customWidth="1"/>
  </cols>
  <sheetData>
    <row r="1" spans="1:2">
      <c r="A1" s="6" t="s">
        <v>0</v>
      </c>
      <c r="B1" s="7" t="s">
        <v>1</v>
      </c>
    </row>
    <row r="2" spans="1:2">
      <c r="A2" s="6" t="s">
        <v>2</v>
      </c>
      <c r="B2" s="7" t="s">
        <v>3</v>
      </c>
    </row>
    <row r="3" spans="1:2">
      <c r="A3" s="6" t="s">
        <v>4</v>
      </c>
      <c r="B3" s="7" t="s">
        <v>5</v>
      </c>
    </row>
    <row r="4" spans="1:2">
      <c r="A4" s="6" t="s">
        <v>6</v>
      </c>
      <c r="B4" s="7" t="s">
        <v>7</v>
      </c>
    </row>
    <row r="5" spans="1:2">
      <c r="A5" s="6" t="s">
        <v>8</v>
      </c>
      <c r="B5" s="7" t="s">
        <v>9</v>
      </c>
    </row>
    <row r="6" spans="1:2">
      <c r="A6" s="6" t="s">
        <v>10</v>
      </c>
      <c r="B6" s="7" t="s">
        <v>11</v>
      </c>
    </row>
    <row r="7" spans="1:2">
      <c r="A7" s="6" t="s">
        <v>12</v>
      </c>
      <c r="B7" s="7" t="s">
        <v>13</v>
      </c>
    </row>
    <row r="8" spans="1:2">
      <c r="A8" s="6" t="s">
        <v>14</v>
      </c>
      <c r="B8" s="7" t="s">
        <v>15</v>
      </c>
    </row>
    <row r="9" spans="1:2">
      <c r="A9" s="6" t="s">
        <v>16</v>
      </c>
      <c r="B9" s="7" t="s">
        <v>17</v>
      </c>
    </row>
    <row r="10" spans="1:2">
      <c r="A10" s="6" t="s">
        <v>18</v>
      </c>
      <c r="B10" s="7" t="s">
        <v>19</v>
      </c>
    </row>
    <row r="11" spans="1:2">
      <c r="A11" s="6" t="s">
        <v>20</v>
      </c>
      <c r="B11" s="7" t="s">
        <v>21</v>
      </c>
    </row>
    <row r="12" spans="1:2">
      <c r="A12" s="6" t="s">
        <v>22</v>
      </c>
      <c r="B12" s="7" t="s">
        <v>23</v>
      </c>
    </row>
    <row r="13" spans="1:2">
      <c r="A13" s="6" t="s">
        <v>24</v>
      </c>
      <c r="B13" s="7" t="s">
        <v>25</v>
      </c>
    </row>
    <row r="14" spans="1:2">
      <c r="A14" s="6" t="s">
        <v>26</v>
      </c>
      <c r="B14" s="7" t="s">
        <v>27</v>
      </c>
    </row>
    <row r="15" spans="1:2">
      <c r="A15" s="6" t="s">
        <v>28</v>
      </c>
      <c r="B15" s="7" t="s">
        <v>29</v>
      </c>
    </row>
    <row r="16" spans="1:2">
      <c r="A16" s="6" t="s">
        <v>30</v>
      </c>
      <c r="B16" s="7" t="s">
        <v>72</v>
      </c>
    </row>
    <row r="17" spans="1:2">
      <c r="A17" s="6" t="s">
        <v>31</v>
      </c>
      <c r="B17" s="7" t="s">
        <v>32</v>
      </c>
    </row>
    <row r="18" spans="1:2">
      <c r="A18" s="6" t="s">
        <v>33</v>
      </c>
      <c r="B18" s="7" t="s">
        <v>34</v>
      </c>
    </row>
    <row r="19" spans="1:2">
      <c r="A19" s="6" t="s">
        <v>35</v>
      </c>
      <c r="B19" s="7" t="s">
        <v>36</v>
      </c>
    </row>
    <row r="20" spans="1:2">
      <c r="A20" s="6" t="s">
        <v>37</v>
      </c>
      <c r="B20" s="7" t="s">
        <v>38</v>
      </c>
    </row>
    <row r="21" spans="1:2">
      <c r="A21" s="6" t="s">
        <v>39</v>
      </c>
      <c r="B21" s="7" t="s">
        <v>40</v>
      </c>
    </row>
    <row r="22" spans="1:2">
      <c r="A22" s="6" t="s">
        <v>41</v>
      </c>
      <c r="B22" s="7" t="s">
        <v>42</v>
      </c>
    </row>
    <row r="23" spans="1:2">
      <c r="A23" s="6" t="s">
        <v>43</v>
      </c>
      <c r="B23" s="7" t="s">
        <v>44</v>
      </c>
    </row>
    <row r="24" spans="1:2">
      <c r="A24" s="6" t="s">
        <v>45</v>
      </c>
      <c r="B24" s="7" t="s">
        <v>46</v>
      </c>
    </row>
    <row r="25" spans="1:2">
      <c r="A25" s="6" t="s">
        <v>47</v>
      </c>
      <c r="B25" s="7" t="s">
        <v>48</v>
      </c>
    </row>
    <row r="26" spans="1:2">
      <c r="A26" s="6" t="s">
        <v>49</v>
      </c>
      <c r="B26" s="7" t="s">
        <v>5</v>
      </c>
    </row>
    <row r="27" spans="1:2">
      <c r="A27" s="6" t="s">
        <v>50</v>
      </c>
      <c r="B27" s="7" t="s">
        <v>51</v>
      </c>
    </row>
    <row r="28" spans="1:2">
      <c r="A28" s="6" t="s">
        <v>52</v>
      </c>
      <c r="B28" s="7" t="s">
        <v>53</v>
      </c>
    </row>
    <row r="29" spans="1:2">
      <c r="A29" s="6" t="s">
        <v>54</v>
      </c>
      <c r="B29" s="7" t="s">
        <v>55</v>
      </c>
    </row>
    <row r="30" spans="1:2">
      <c r="A30" s="6" t="s">
        <v>56</v>
      </c>
      <c r="B30" s="7" t="s">
        <v>57</v>
      </c>
    </row>
    <row r="31" spans="1:2">
      <c r="A31" s="6" t="s">
        <v>58</v>
      </c>
      <c r="B31" s="7" t="s">
        <v>59</v>
      </c>
    </row>
    <row r="32" spans="1:2">
      <c r="A32" s="6" t="s">
        <v>60</v>
      </c>
      <c r="B32" s="7" t="s">
        <v>61</v>
      </c>
    </row>
    <row r="33" spans="1:2">
      <c r="A33" s="6" t="s">
        <v>62</v>
      </c>
      <c r="B33" s="7" t="s">
        <v>13</v>
      </c>
    </row>
    <row r="34" spans="1:2">
      <c r="A34" s="6" t="s">
        <v>63</v>
      </c>
      <c r="B34" s="7" t="s">
        <v>64</v>
      </c>
    </row>
    <row r="35" spans="1:2">
      <c r="A35" s="6" t="s">
        <v>65</v>
      </c>
      <c r="B35" s="8" t="s">
        <v>73</v>
      </c>
    </row>
    <row r="36" spans="1:2">
      <c r="A36" s="6" t="s">
        <v>66</v>
      </c>
      <c r="B36" s="8" t="s">
        <v>74</v>
      </c>
    </row>
    <row r="37" spans="1:2">
      <c r="A37" s="6" t="s">
        <v>67</v>
      </c>
      <c r="B37" s="8" t="s">
        <v>25</v>
      </c>
    </row>
    <row r="38" spans="1:2">
      <c r="A38" s="6" t="s">
        <v>68</v>
      </c>
      <c r="B38" s="8" t="s">
        <v>69</v>
      </c>
    </row>
    <row r="39" spans="1:2">
      <c r="A39" s="6" t="s">
        <v>70</v>
      </c>
      <c r="B39" s="8" t="s">
        <v>71</v>
      </c>
    </row>
    <row r="40" spans="1:2">
      <c r="A40" s="8" t="s">
        <v>66</v>
      </c>
      <c r="B40" s="8" t="s">
        <v>74</v>
      </c>
    </row>
    <row r="41" spans="1:2">
      <c r="A41" s="8" t="s">
        <v>101</v>
      </c>
      <c r="B41" s="8" t="s">
        <v>102</v>
      </c>
    </row>
    <row r="42" spans="1:2">
      <c r="A42" s="8" t="s">
        <v>103</v>
      </c>
      <c r="B42" s="8" t="s">
        <v>104</v>
      </c>
    </row>
    <row r="43" spans="1:2">
      <c r="A43" s="8" t="s">
        <v>105</v>
      </c>
      <c r="B43" s="8" t="s">
        <v>106</v>
      </c>
    </row>
    <row r="44" spans="1:2">
      <c r="A44" s="8" t="s">
        <v>107</v>
      </c>
      <c r="B44" s="8" t="s">
        <v>108</v>
      </c>
    </row>
    <row r="45" spans="1:2">
      <c r="A45" s="8" t="s">
        <v>109</v>
      </c>
      <c r="B45" s="8" t="s">
        <v>110</v>
      </c>
    </row>
    <row r="46" spans="1:2">
      <c r="A46" s="8" t="s">
        <v>111</v>
      </c>
      <c r="B46" s="8" t="s">
        <v>112</v>
      </c>
    </row>
    <row r="47" spans="1:2">
      <c r="A47" s="8" t="s">
        <v>113</v>
      </c>
      <c r="B47" s="8" t="s">
        <v>114</v>
      </c>
    </row>
    <row r="48" spans="1:2">
      <c r="A48" s="8" t="s">
        <v>115</v>
      </c>
      <c r="B48" s="8" t="s">
        <v>116</v>
      </c>
    </row>
    <row r="49" spans="1:2">
      <c r="A49" s="8" t="s">
        <v>117</v>
      </c>
      <c r="B49" s="8" t="s">
        <v>118</v>
      </c>
    </row>
    <row r="50" spans="1:2">
      <c r="A50" s="8" t="s">
        <v>119</v>
      </c>
      <c r="B50" s="8" t="s">
        <v>120</v>
      </c>
    </row>
    <row r="51" spans="1:2">
      <c r="A51" s="8" t="s">
        <v>47</v>
      </c>
      <c r="B51" s="8" t="s">
        <v>48</v>
      </c>
    </row>
    <row r="52" spans="1:2">
      <c r="A52" s="8" t="s">
        <v>97</v>
      </c>
      <c r="B52" s="8" t="s">
        <v>64</v>
      </c>
    </row>
    <row r="53" spans="1:2">
      <c r="A53" s="8" t="s">
        <v>30</v>
      </c>
      <c r="B53" s="8" t="s">
        <v>72</v>
      </c>
    </row>
    <row r="54" spans="1:2">
      <c r="A54" s="8" t="s">
        <v>66</v>
      </c>
      <c r="B54" s="8" t="s">
        <v>74</v>
      </c>
    </row>
    <row r="55" spans="1:2">
      <c r="A55" s="8" t="s">
        <v>101</v>
      </c>
      <c r="B55" s="8" t="s">
        <v>102</v>
      </c>
    </row>
    <row r="56" spans="1:2">
      <c r="A56" s="8" t="s">
        <v>103</v>
      </c>
      <c r="B56" s="8" t="s">
        <v>104</v>
      </c>
    </row>
    <row r="57" spans="1:2">
      <c r="A57" s="3" t="s">
        <v>10</v>
      </c>
      <c r="B57" s="3" t="s">
        <v>11</v>
      </c>
    </row>
    <row r="58" spans="1:2">
      <c r="A58" s="3" t="s">
        <v>24</v>
      </c>
      <c r="B58" s="3" t="s">
        <v>25</v>
      </c>
    </row>
    <row r="59" spans="1:2">
      <c r="A59" s="3" t="s">
        <v>8</v>
      </c>
      <c r="B59" s="3" t="s">
        <v>9</v>
      </c>
    </row>
    <row r="60" spans="1:2">
      <c r="A60" s="3" t="s">
        <v>4</v>
      </c>
      <c r="B60" s="3" t="s">
        <v>5</v>
      </c>
    </row>
    <row r="61" spans="1:2">
      <c r="A61" s="3" t="s">
        <v>12</v>
      </c>
      <c r="B61" s="3" t="s">
        <v>13</v>
      </c>
    </row>
    <row r="62" spans="1:2">
      <c r="A62" s="9" t="s">
        <v>121</v>
      </c>
      <c r="B62" s="9" t="s">
        <v>122</v>
      </c>
    </row>
    <row r="63" spans="1:2">
      <c r="A63" s="9" t="s">
        <v>123</v>
      </c>
      <c r="B63" s="9" t="s">
        <v>124</v>
      </c>
    </row>
    <row r="64" spans="1:2">
      <c r="A64" s="9" t="s">
        <v>125</v>
      </c>
      <c r="B64" s="9" t="s">
        <v>126</v>
      </c>
    </row>
    <row r="65" spans="1:2">
      <c r="A65" s="9" t="s">
        <v>127</v>
      </c>
      <c r="B65" s="9" t="s">
        <v>128</v>
      </c>
    </row>
    <row r="66" spans="1:2">
      <c r="A66" s="9" t="s">
        <v>129</v>
      </c>
      <c r="B66" s="9" t="s">
        <v>130</v>
      </c>
    </row>
    <row r="67" spans="1:2">
      <c r="A67" s="9" t="s">
        <v>131</v>
      </c>
      <c r="B67" s="9" t="s">
        <v>132</v>
      </c>
    </row>
    <row r="68" spans="1:2">
      <c r="A68" s="9" t="s">
        <v>133</v>
      </c>
      <c r="B68" s="9" t="s">
        <v>134</v>
      </c>
    </row>
    <row r="69" spans="1:2">
      <c r="A69" s="3" t="s">
        <v>135</v>
      </c>
      <c r="B69" s="5" t="s">
        <v>136</v>
      </c>
    </row>
    <row r="70" spans="1:2">
      <c r="A70" s="3" t="s">
        <v>137</v>
      </c>
      <c r="B70" s="5" t="s">
        <v>138</v>
      </c>
    </row>
    <row r="71" spans="1:2">
      <c r="A71" s="3" t="s">
        <v>139</v>
      </c>
      <c r="B71" s="3" t="s">
        <v>140</v>
      </c>
    </row>
    <row r="72" spans="1:2">
      <c r="A72" s="3" t="s">
        <v>99</v>
      </c>
      <c r="B72" s="5" t="s">
        <v>141</v>
      </c>
    </row>
    <row r="73" spans="1:2">
      <c r="A73" s="3" t="s">
        <v>142</v>
      </c>
      <c r="B73" s="4" t="s">
        <v>143</v>
      </c>
    </row>
    <row r="74" spans="1:2">
      <c r="A74" s="3" t="s">
        <v>144</v>
      </c>
      <c r="B74" s="4" t="s">
        <v>145</v>
      </c>
    </row>
    <row r="75" spans="1:2">
      <c r="A75" s="3" t="s">
        <v>146</v>
      </c>
      <c r="B75" s="5" t="s">
        <v>147</v>
      </c>
    </row>
    <row r="76" spans="1:2">
      <c r="A76" s="3" t="s">
        <v>100</v>
      </c>
      <c r="B76" s="2" t="s">
        <v>148</v>
      </c>
    </row>
    <row r="77" spans="1:2">
      <c r="A77" s="3" t="s">
        <v>150</v>
      </c>
      <c r="B77" t="s">
        <v>175</v>
      </c>
    </row>
    <row r="78" spans="1:2">
      <c r="A78" t="s">
        <v>151</v>
      </c>
      <c r="B78" t="s">
        <v>164</v>
      </c>
    </row>
    <row r="79" spans="1:2">
      <c r="A79" t="s">
        <v>152</v>
      </c>
      <c r="B79" t="s">
        <v>163</v>
      </c>
    </row>
    <row r="80" spans="1:2">
      <c r="A80" t="s">
        <v>131</v>
      </c>
      <c r="B80" t="s">
        <v>132</v>
      </c>
    </row>
    <row r="81" spans="1:2">
      <c r="A81" t="s">
        <v>153</v>
      </c>
      <c r="B81" t="s">
        <v>165</v>
      </c>
    </row>
    <row r="82" spans="1:2">
      <c r="A82" t="s">
        <v>154</v>
      </c>
      <c r="B82" t="s">
        <v>166</v>
      </c>
    </row>
    <row r="83" spans="1:2">
      <c r="A83" t="s">
        <v>155</v>
      </c>
      <c r="B83" t="s">
        <v>167</v>
      </c>
    </row>
    <row r="84" spans="1:2" ht="15.75" customHeight="1">
      <c r="A84" t="s">
        <v>156</v>
      </c>
      <c r="B84" s="13" t="s">
        <v>168</v>
      </c>
    </row>
    <row r="85" spans="1:2">
      <c r="A85" t="s">
        <v>157</v>
      </c>
      <c r="B85" t="s">
        <v>169</v>
      </c>
    </row>
    <row r="86" spans="1:2">
      <c r="A86" t="s">
        <v>158</v>
      </c>
      <c r="B86" t="s">
        <v>170</v>
      </c>
    </row>
    <row r="87" spans="1:2">
      <c r="A87" t="s">
        <v>159</v>
      </c>
      <c r="B87" t="s">
        <v>171</v>
      </c>
    </row>
    <row r="88" spans="1:2">
      <c r="A88" t="s">
        <v>160</v>
      </c>
      <c r="B88" t="s">
        <v>172</v>
      </c>
    </row>
    <row r="89" spans="1:2">
      <c r="A89" t="s">
        <v>161</v>
      </c>
      <c r="B89" t="s">
        <v>173</v>
      </c>
    </row>
    <row r="90" spans="1:2">
      <c r="A90" t="s">
        <v>162</v>
      </c>
      <c r="B90" t="s">
        <v>174</v>
      </c>
    </row>
    <row r="91" spans="1:2">
      <c r="A91" t="s">
        <v>176</v>
      </c>
      <c r="B91" t="s">
        <v>177</v>
      </c>
    </row>
    <row r="92" spans="1:2">
      <c r="A92" s="14" t="s">
        <v>178</v>
      </c>
      <c r="B92" t="s">
        <v>179</v>
      </c>
    </row>
    <row r="93" spans="1:2">
      <c r="A93" t="s">
        <v>180</v>
      </c>
      <c r="B93" t="s">
        <v>181</v>
      </c>
    </row>
    <row r="94" spans="1:2">
      <c r="A94" t="s">
        <v>182</v>
      </c>
      <c r="B94" t="s">
        <v>183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1"/>
  <sheetViews>
    <sheetView zoomScale="70" zoomScaleNormal="70" workbookViewId="0">
      <selection activeCell="A2" sqref="A2:X21"/>
    </sheetView>
  </sheetViews>
  <sheetFormatPr defaultColWidth="9.140625" defaultRowHeight="15"/>
  <cols>
    <col min="1" max="4" width="9.140625" style="2"/>
    <col min="5" max="5" width="16.140625" style="16" customWidth="1"/>
    <col min="6" max="6" width="12" style="16" bestFit="1" customWidth="1"/>
    <col min="7" max="7" width="14.28515625" style="16" customWidth="1"/>
    <col min="8" max="8" width="12.140625" style="16" bestFit="1" customWidth="1"/>
    <col min="9" max="9" width="13.7109375" style="2" customWidth="1"/>
    <col min="10" max="10" width="15.42578125" style="2" customWidth="1"/>
    <col min="11" max="11" width="15.140625" style="2" customWidth="1"/>
    <col min="12" max="12" width="9.140625" style="2"/>
    <col min="13" max="13" width="13.140625" style="2" bestFit="1" customWidth="1"/>
    <col min="14" max="14" width="13.85546875" style="2" bestFit="1" customWidth="1"/>
    <col min="15" max="16" width="9.140625" style="2"/>
    <col min="17" max="17" width="18.140625" style="2" customWidth="1"/>
    <col min="18" max="19" width="9.140625" style="2"/>
    <col min="20" max="20" width="12.85546875" style="2" customWidth="1"/>
    <col min="21" max="21" width="9.140625" style="2"/>
    <col min="22" max="22" width="11.7109375" style="2" customWidth="1"/>
    <col min="23" max="16384" width="9.140625" style="2"/>
  </cols>
  <sheetData>
    <row r="1" spans="1:24" ht="30.75" customHeight="1">
      <c r="A1" s="10" t="s">
        <v>75</v>
      </c>
      <c r="B1" s="10" t="s">
        <v>76</v>
      </c>
      <c r="C1" s="10" t="s">
        <v>77</v>
      </c>
      <c r="D1" s="10" t="s">
        <v>78</v>
      </c>
      <c r="E1" s="15" t="s">
        <v>79</v>
      </c>
      <c r="F1" s="15" t="s">
        <v>80</v>
      </c>
      <c r="G1" s="15" t="s">
        <v>81</v>
      </c>
      <c r="H1" s="15" t="s">
        <v>82</v>
      </c>
      <c r="I1" s="10" t="s">
        <v>83</v>
      </c>
      <c r="J1" s="10" t="s">
        <v>84</v>
      </c>
      <c r="K1" s="10" t="s">
        <v>85</v>
      </c>
      <c r="L1" s="10" t="s">
        <v>86</v>
      </c>
      <c r="M1" s="10" t="s">
        <v>87</v>
      </c>
      <c r="N1" s="10" t="s">
        <v>88</v>
      </c>
      <c r="O1" s="10" t="s">
        <v>89</v>
      </c>
      <c r="P1" s="10" t="s">
        <v>90</v>
      </c>
      <c r="Q1" s="10" t="s">
        <v>91</v>
      </c>
      <c r="R1" s="10" t="s">
        <v>92</v>
      </c>
      <c r="S1" s="10" t="s">
        <v>93</v>
      </c>
      <c r="T1" s="10" t="s">
        <v>94</v>
      </c>
      <c r="U1" s="10" t="s">
        <v>95</v>
      </c>
      <c r="V1" s="11" t="s">
        <v>96</v>
      </c>
      <c r="X1" s="1" t="s">
        <v>98</v>
      </c>
    </row>
    <row r="2" spans="1:24" ht="45">
      <c r="A2" s="20" t="s">
        <v>225</v>
      </c>
      <c r="B2" s="20" t="s">
        <v>185</v>
      </c>
      <c r="C2" s="20" t="s">
        <v>186</v>
      </c>
      <c r="D2" s="20" t="s">
        <v>187</v>
      </c>
      <c r="E2" s="25">
        <v>46125</v>
      </c>
      <c r="F2" s="25">
        <v>46139</v>
      </c>
      <c r="G2" s="25">
        <v>46322</v>
      </c>
      <c r="H2" s="25">
        <v>46324</v>
      </c>
      <c r="I2" s="19" t="s">
        <v>226</v>
      </c>
      <c r="J2" s="19" t="s">
        <v>0</v>
      </c>
      <c r="K2" s="19" t="str">
        <f>VLOOKUP(J2,Tickers!A:B,2,FALSE)</f>
        <v>新世界发展</v>
      </c>
      <c r="L2" s="26">
        <v>85</v>
      </c>
      <c r="M2" s="26">
        <v>33.44</v>
      </c>
      <c r="N2" s="20" t="s">
        <v>189</v>
      </c>
      <c r="O2" s="26">
        <v>100</v>
      </c>
      <c r="P2" s="20" t="s">
        <v>190</v>
      </c>
      <c r="Q2" s="21">
        <v>1</v>
      </c>
      <c r="R2" s="26" t="s">
        <v>191</v>
      </c>
      <c r="S2" s="21" t="s">
        <v>192</v>
      </c>
      <c r="T2" s="21" t="s">
        <v>197</v>
      </c>
      <c r="U2" s="21" t="s">
        <v>198</v>
      </c>
      <c r="V2" s="27">
        <v>99</v>
      </c>
    </row>
    <row r="3" spans="1:24" ht="45">
      <c r="A3" s="20" t="s">
        <v>209</v>
      </c>
      <c r="B3" s="20" t="s">
        <v>185</v>
      </c>
      <c r="C3" s="20" t="s">
        <v>186</v>
      </c>
      <c r="D3" s="20" t="s">
        <v>187</v>
      </c>
      <c r="E3" s="25">
        <v>46125</v>
      </c>
      <c r="F3" s="25">
        <v>46139</v>
      </c>
      <c r="G3" s="25">
        <v>46322</v>
      </c>
      <c r="H3" s="25">
        <v>46324</v>
      </c>
      <c r="I3" s="19" t="s">
        <v>210</v>
      </c>
      <c r="J3" s="19" t="s">
        <v>6</v>
      </c>
      <c r="K3" s="19" t="str">
        <f>VLOOKUP(J3,Tickers!A:B,2,FALSE)</f>
        <v>快手科技</v>
      </c>
      <c r="L3" s="26">
        <v>85</v>
      </c>
      <c r="M3" s="26">
        <v>22.82</v>
      </c>
      <c r="N3" s="20" t="s">
        <v>189</v>
      </c>
      <c r="O3" s="26">
        <v>100</v>
      </c>
      <c r="P3" s="20" t="s">
        <v>190</v>
      </c>
      <c r="Q3" s="21">
        <v>1</v>
      </c>
      <c r="R3" s="26" t="s">
        <v>191</v>
      </c>
      <c r="S3" s="21" t="s">
        <v>192</v>
      </c>
      <c r="T3" s="21" t="s">
        <v>205</v>
      </c>
      <c r="U3" s="21" t="s">
        <v>194</v>
      </c>
      <c r="V3" s="27">
        <v>99</v>
      </c>
    </row>
    <row r="4" spans="1:24" ht="45">
      <c r="A4" s="20" t="s">
        <v>231</v>
      </c>
      <c r="B4" s="20" t="s">
        <v>185</v>
      </c>
      <c r="C4" s="20" t="s">
        <v>186</v>
      </c>
      <c r="D4" s="20" t="s">
        <v>187</v>
      </c>
      <c r="E4" s="25">
        <v>46125</v>
      </c>
      <c r="F4" s="25">
        <v>46139</v>
      </c>
      <c r="G4" s="25">
        <v>46322</v>
      </c>
      <c r="H4" s="25">
        <v>46324</v>
      </c>
      <c r="I4" s="19" t="s">
        <v>232</v>
      </c>
      <c r="J4" s="19" t="s">
        <v>2</v>
      </c>
      <c r="K4" s="19" t="str">
        <f>VLOOKUP(J4,Tickers!A:B,2,FALSE)</f>
        <v>吉利汽车</v>
      </c>
      <c r="L4" s="26">
        <v>85</v>
      </c>
      <c r="M4" s="26">
        <v>20.54</v>
      </c>
      <c r="N4" s="20" t="s">
        <v>189</v>
      </c>
      <c r="O4" s="26">
        <v>100</v>
      </c>
      <c r="P4" s="20" t="s">
        <v>190</v>
      </c>
      <c r="Q4" s="21">
        <v>1</v>
      </c>
      <c r="R4" s="26" t="s">
        <v>191</v>
      </c>
      <c r="S4" s="21" t="s">
        <v>192</v>
      </c>
      <c r="T4" s="21" t="s">
        <v>233</v>
      </c>
      <c r="U4" s="21" t="s">
        <v>234</v>
      </c>
      <c r="V4" s="27">
        <v>99</v>
      </c>
    </row>
    <row r="5" spans="1:24" ht="45">
      <c r="A5" s="20" t="s">
        <v>213</v>
      </c>
      <c r="B5" s="20" t="s">
        <v>185</v>
      </c>
      <c r="C5" s="20" t="s">
        <v>186</v>
      </c>
      <c r="D5" s="20" t="s">
        <v>187</v>
      </c>
      <c r="E5" s="25">
        <v>46125</v>
      </c>
      <c r="F5" s="25">
        <v>46139</v>
      </c>
      <c r="G5" s="25">
        <v>46322</v>
      </c>
      <c r="H5" s="25">
        <v>46324</v>
      </c>
      <c r="I5" s="19" t="s">
        <v>214</v>
      </c>
      <c r="J5" s="19" t="s">
        <v>12</v>
      </c>
      <c r="K5" s="19" t="str">
        <f>VLOOKUP(J5,Tickers!A:B,2,FALSE)</f>
        <v>百度</v>
      </c>
      <c r="L5" s="26">
        <v>85</v>
      </c>
      <c r="M5" s="26">
        <v>17.7</v>
      </c>
      <c r="N5" s="20" t="s">
        <v>189</v>
      </c>
      <c r="O5" s="26">
        <v>100</v>
      </c>
      <c r="P5" s="20" t="s">
        <v>190</v>
      </c>
      <c r="Q5" s="21">
        <v>1</v>
      </c>
      <c r="R5" s="26" t="s">
        <v>191</v>
      </c>
      <c r="S5" s="21" t="s">
        <v>192</v>
      </c>
      <c r="T5" s="21" t="s">
        <v>197</v>
      </c>
      <c r="U5" s="21" t="s">
        <v>198</v>
      </c>
      <c r="V5" s="27">
        <v>99</v>
      </c>
    </row>
    <row r="6" spans="1:24" ht="45">
      <c r="A6" s="20" t="s">
        <v>215</v>
      </c>
      <c r="B6" s="20" t="s">
        <v>185</v>
      </c>
      <c r="C6" s="20" t="s">
        <v>186</v>
      </c>
      <c r="D6" s="20" t="s">
        <v>187</v>
      </c>
      <c r="E6" s="25">
        <v>46125</v>
      </c>
      <c r="F6" s="25">
        <v>46139</v>
      </c>
      <c r="G6" s="25">
        <v>46322</v>
      </c>
      <c r="H6" s="25">
        <v>46324</v>
      </c>
      <c r="I6" s="19" t="s">
        <v>216</v>
      </c>
      <c r="J6" s="19" t="s">
        <v>14</v>
      </c>
      <c r="K6" s="19" t="str">
        <f>VLOOKUP(J6,Tickers!A:B,2,FALSE)</f>
        <v>比亚迪</v>
      </c>
      <c r="L6" s="26">
        <v>85</v>
      </c>
      <c r="M6" s="26">
        <v>16.170000000000002</v>
      </c>
      <c r="N6" s="20" t="s">
        <v>189</v>
      </c>
      <c r="O6" s="26">
        <v>100</v>
      </c>
      <c r="P6" s="20" t="s">
        <v>190</v>
      </c>
      <c r="Q6" s="21">
        <v>1</v>
      </c>
      <c r="R6" s="26" t="s">
        <v>191</v>
      </c>
      <c r="S6" s="21" t="s">
        <v>192</v>
      </c>
      <c r="T6" s="21" t="s">
        <v>193</v>
      </c>
      <c r="U6" s="21" t="s">
        <v>194</v>
      </c>
      <c r="V6" s="27">
        <v>99</v>
      </c>
    </row>
    <row r="7" spans="1:24" ht="45">
      <c r="A7" s="20" t="s">
        <v>195</v>
      </c>
      <c r="B7" s="20" t="s">
        <v>185</v>
      </c>
      <c r="C7" s="20" t="s">
        <v>186</v>
      </c>
      <c r="D7" s="20" t="s">
        <v>187</v>
      </c>
      <c r="E7" s="25">
        <v>46125</v>
      </c>
      <c r="F7" s="25">
        <v>46139</v>
      </c>
      <c r="G7" s="25">
        <v>46322</v>
      </c>
      <c r="H7" s="25">
        <v>46324</v>
      </c>
      <c r="I7" s="19" t="s">
        <v>196</v>
      </c>
      <c r="J7" s="19" t="s">
        <v>24</v>
      </c>
      <c r="K7" s="19" t="str">
        <f>VLOOKUP(J7,Tickers!A:B,2,FALSE)</f>
        <v>阿里巴巴</v>
      </c>
      <c r="L7" s="26">
        <v>85</v>
      </c>
      <c r="M7" s="26">
        <v>15.94</v>
      </c>
      <c r="N7" s="20" t="s">
        <v>189</v>
      </c>
      <c r="O7" s="26">
        <v>100</v>
      </c>
      <c r="P7" s="20" t="s">
        <v>190</v>
      </c>
      <c r="Q7" s="21">
        <v>1</v>
      </c>
      <c r="R7" s="26" t="s">
        <v>191</v>
      </c>
      <c r="S7" s="21" t="s">
        <v>192</v>
      </c>
      <c r="T7" s="21" t="s">
        <v>193</v>
      </c>
      <c r="U7" s="21" t="s">
        <v>194</v>
      </c>
      <c r="V7" s="27">
        <v>99</v>
      </c>
    </row>
    <row r="8" spans="1:24" ht="45">
      <c r="A8" s="20" t="s">
        <v>199</v>
      </c>
      <c r="B8" s="20" t="s">
        <v>185</v>
      </c>
      <c r="C8" s="20" t="s">
        <v>186</v>
      </c>
      <c r="D8" s="20" t="s">
        <v>187</v>
      </c>
      <c r="E8" s="25">
        <v>46125</v>
      </c>
      <c r="F8" s="25">
        <v>46139</v>
      </c>
      <c r="G8" s="25">
        <v>46322</v>
      </c>
      <c r="H8" s="25">
        <v>46324</v>
      </c>
      <c r="I8" s="19" t="s">
        <v>200</v>
      </c>
      <c r="J8" s="19" t="s">
        <v>10</v>
      </c>
      <c r="K8" s="19" t="str">
        <f>VLOOKUP(J8,Tickers!A:B,2,FALSE)</f>
        <v>小米</v>
      </c>
      <c r="L8" s="26">
        <v>85</v>
      </c>
      <c r="M8" s="26">
        <v>15.94</v>
      </c>
      <c r="N8" s="20" t="s">
        <v>189</v>
      </c>
      <c r="O8" s="26">
        <v>100</v>
      </c>
      <c r="P8" s="20" t="s">
        <v>190</v>
      </c>
      <c r="Q8" s="21">
        <v>1</v>
      </c>
      <c r="R8" s="26" t="s">
        <v>191</v>
      </c>
      <c r="S8" s="21" t="s">
        <v>192</v>
      </c>
      <c r="T8" s="21" t="s">
        <v>197</v>
      </c>
      <c r="U8" s="21" t="s">
        <v>198</v>
      </c>
      <c r="V8" s="27">
        <v>99</v>
      </c>
    </row>
    <row r="9" spans="1:24" ht="45">
      <c r="A9" s="20" t="s">
        <v>201</v>
      </c>
      <c r="B9" s="20" t="s">
        <v>185</v>
      </c>
      <c r="C9" s="20" t="s">
        <v>186</v>
      </c>
      <c r="D9" s="20" t="s">
        <v>187</v>
      </c>
      <c r="E9" s="25">
        <v>46125</v>
      </c>
      <c r="F9" s="25">
        <v>46139</v>
      </c>
      <c r="G9" s="25">
        <v>46322</v>
      </c>
      <c r="H9" s="25">
        <v>46324</v>
      </c>
      <c r="I9" s="19" t="s">
        <v>202</v>
      </c>
      <c r="J9" s="19" t="s">
        <v>8</v>
      </c>
      <c r="K9" s="19" t="str">
        <f>VLOOKUP(J9,Tickers!A:B,2,FALSE)</f>
        <v>美团</v>
      </c>
      <c r="L9" s="26">
        <v>85</v>
      </c>
      <c r="M9" s="26">
        <v>15.51</v>
      </c>
      <c r="N9" s="20" t="s">
        <v>189</v>
      </c>
      <c r="O9" s="26">
        <v>100</v>
      </c>
      <c r="P9" s="20" t="s">
        <v>190</v>
      </c>
      <c r="Q9" s="21">
        <v>1</v>
      </c>
      <c r="R9" s="26" t="s">
        <v>191</v>
      </c>
      <c r="S9" s="21" t="s">
        <v>192</v>
      </c>
      <c r="T9" s="21" t="s">
        <v>193</v>
      </c>
      <c r="U9" s="21" t="s">
        <v>194</v>
      </c>
      <c r="V9" s="27">
        <v>99</v>
      </c>
    </row>
    <row r="10" spans="1:24" ht="45">
      <c r="A10" s="20" t="s">
        <v>207</v>
      </c>
      <c r="B10" s="20" t="s">
        <v>185</v>
      </c>
      <c r="C10" s="20" t="s">
        <v>186</v>
      </c>
      <c r="D10" s="20" t="s">
        <v>187</v>
      </c>
      <c r="E10" s="25">
        <v>46125</v>
      </c>
      <c r="F10" s="25">
        <v>46139</v>
      </c>
      <c r="G10" s="25">
        <v>46322</v>
      </c>
      <c r="H10" s="25">
        <v>46324</v>
      </c>
      <c r="I10" s="19" t="s">
        <v>208</v>
      </c>
      <c r="J10" s="19" t="s">
        <v>4</v>
      </c>
      <c r="K10" s="19" t="str">
        <f>VLOOKUP(J10,Tickers!A:B,2,FALSE)</f>
        <v>京东</v>
      </c>
      <c r="L10" s="26">
        <v>85</v>
      </c>
      <c r="M10" s="26">
        <v>14.75</v>
      </c>
      <c r="N10" s="20" t="s">
        <v>189</v>
      </c>
      <c r="O10" s="26">
        <v>100</v>
      </c>
      <c r="P10" s="20" t="s">
        <v>190</v>
      </c>
      <c r="Q10" s="21">
        <v>1</v>
      </c>
      <c r="R10" s="26" t="s">
        <v>191</v>
      </c>
      <c r="S10" s="21" t="s">
        <v>192</v>
      </c>
      <c r="T10" s="21" t="s">
        <v>193</v>
      </c>
      <c r="U10" s="21" t="s">
        <v>194</v>
      </c>
      <c r="V10" s="27">
        <v>99</v>
      </c>
    </row>
    <row r="11" spans="1:24" ht="45">
      <c r="A11" s="20" t="s">
        <v>241</v>
      </c>
      <c r="B11" s="20" t="s">
        <v>185</v>
      </c>
      <c r="C11" s="20" t="s">
        <v>186</v>
      </c>
      <c r="D11" s="20" t="s">
        <v>187</v>
      </c>
      <c r="E11" s="25">
        <v>46125</v>
      </c>
      <c r="F11" s="25">
        <v>46139</v>
      </c>
      <c r="G11" s="25">
        <v>46322</v>
      </c>
      <c r="H11" s="25">
        <v>46324</v>
      </c>
      <c r="I11" s="19" t="s">
        <v>242</v>
      </c>
      <c r="J11" s="19" t="s">
        <v>135</v>
      </c>
      <c r="K11" s="19" t="str">
        <f>VLOOKUP(J11,Tickers!A:B,2,FALSE)</f>
        <v>友邦保险</v>
      </c>
      <c r="L11" s="26">
        <v>85</v>
      </c>
      <c r="M11" s="26">
        <v>12.97</v>
      </c>
      <c r="N11" s="20" t="s">
        <v>189</v>
      </c>
      <c r="O11" s="26">
        <v>100</v>
      </c>
      <c r="P11" s="20" t="s">
        <v>190</v>
      </c>
      <c r="Q11" s="21">
        <v>1</v>
      </c>
      <c r="R11" s="26" t="s">
        <v>191</v>
      </c>
      <c r="S11" s="21" t="s">
        <v>192</v>
      </c>
      <c r="T11" s="21" t="s">
        <v>221</v>
      </c>
      <c r="U11" s="21" t="s">
        <v>198</v>
      </c>
      <c r="V11" s="27">
        <v>99</v>
      </c>
    </row>
    <row r="12" spans="1:24" ht="45">
      <c r="A12" s="20" t="s">
        <v>227</v>
      </c>
      <c r="B12" s="20" t="s">
        <v>185</v>
      </c>
      <c r="C12" s="20" t="s">
        <v>186</v>
      </c>
      <c r="D12" s="20" t="s">
        <v>187</v>
      </c>
      <c r="E12" s="25">
        <v>46125</v>
      </c>
      <c r="F12" s="25">
        <v>46139</v>
      </c>
      <c r="G12" s="25">
        <v>46322</v>
      </c>
      <c r="H12" s="25">
        <v>46324</v>
      </c>
      <c r="I12" s="19" t="s">
        <v>228</v>
      </c>
      <c r="J12" s="19" t="s">
        <v>18</v>
      </c>
      <c r="K12" s="19" t="str">
        <f>VLOOKUP(J12,Tickers!A:B,2,FALSE)</f>
        <v>银河娱乐</v>
      </c>
      <c r="L12" s="26">
        <v>85</v>
      </c>
      <c r="M12" s="26">
        <v>11.8</v>
      </c>
      <c r="N12" s="20" t="s">
        <v>189</v>
      </c>
      <c r="O12" s="26">
        <v>100</v>
      </c>
      <c r="P12" s="20" t="s">
        <v>190</v>
      </c>
      <c r="Q12" s="21">
        <v>1</v>
      </c>
      <c r="R12" s="26" t="s">
        <v>191</v>
      </c>
      <c r="S12" s="21" t="s">
        <v>192</v>
      </c>
      <c r="T12" s="21" t="s">
        <v>229</v>
      </c>
      <c r="U12" s="21" t="s">
        <v>230</v>
      </c>
      <c r="V12" s="27">
        <v>99</v>
      </c>
    </row>
    <row r="13" spans="1:24" ht="45">
      <c r="A13" s="20" t="s">
        <v>217</v>
      </c>
      <c r="B13" s="20" t="s">
        <v>185</v>
      </c>
      <c r="C13" s="20" t="s">
        <v>186</v>
      </c>
      <c r="D13" s="20" t="s">
        <v>187</v>
      </c>
      <c r="E13" s="25">
        <v>46125</v>
      </c>
      <c r="F13" s="25">
        <v>46139</v>
      </c>
      <c r="G13" s="25">
        <v>46322</v>
      </c>
      <c r="H13" s="25">
        <v>46324</v>
      </c>
      <c r="I13" s="19" t="s">
        <v>218</v>
      </c>
      <c r="J13" s="19" t="s">
        <v>16</v>
      </c>
      <c r="K13" s="19" t="str">
        <f>VLOOKUP(J13,Tickers!A:B,2,FALSE)</f>
        <v>中国平安保险</v>
      </c>
      <c r="L13" s="26">
        <v>85</v>
      </c>
      <c r="M13" s="26">
        <v>11.48</v>
      </c>
      <c r="N13" s="20" t="s">
        <v>189</v>
      </c>
      <c r="O13" s="26">
        <v>100</v>
      </c>
      <c r="P13" s="20" t="s">
        <v>190</v>
      </c>
      <c r="Q13" s="21">
        <v>1</v>
      </c>
      <c r="R13" s="26" t="s">
        <v>191</v>
      </c>
      <c r="S13" s="21" t="s">
        <v>192</v>
      </c>
      <c r="T13" s="21" t="s">
        <v>205</v>
      </c>
      <c r="U13" s="21" t="s">
        <v>194</v>
      </c>
      <c r="V13" s="27">
        <v>99</v>
      </c>
    </row>
    <row r="14" spans="1:24" ht="45">
      <c r="A14" s="20" t="s">
        <v>239</v>
      </c>
      <c r="B14" s="20" t="s">
        <v>185</v>
      </c>
      <c r="C14" s="20" t="s">
        <v>186</v>
      </c>
      <c r="D14" s="20" t="s">
        <v>187</v>
      </c>
      <c r="E14" s="25">
        <v>46125</v>
      </c>
      <c r="F14" s="25">
        <v>46139</v>
      </c>
      <c r="G14" s="25">
        <v>46322</v>
      </c>
      <c r="H14" s="25">
        <v>46324</v>
      </c>
      <c r="I14" s="19" t="s">
        <v>240</v>
      </c>
      <c r="J14" s="19" t="s">
        <v>20</v>
      </c>
      <c r="K14" s="19" t="str">
        <f>VLOOKUP(J14,Tickers!A:B,2,FALSE)</f>
        <v>中国海外发展</v>
      </c>
      <c r="L14" s="26">
        <v>85</v>
      </c>
      <c r="M14" s="26">
        <v>10.62</v>
      </c>
      <c r="N14" s="20" t="s">
        <v>189</v>
      </c>
      <c r="O14" s="26">
        <v>100</v>
      </c>
      <c r="P14" s="20" t="s">
        <v>190</v>
      </c>
      <c r="Q14" s="21">
        <v>1</v>
      </c>
      <c r="R14" s="26" t="s">
        <v>191</v>
      </c>
      <c r="S14" s="21" t="s">
        <v>192</v>
      </c>
      <c r="T14" s="21" t="s">
        <v>206</v>
      </c>
      <c r="U14" s="21" t="s">
        <v>194</v>
      </c>
      <c r="V14" s="27">
        <v>99</v>
      </c>
    </row>
    <row r="15" spans="1:24" ht="45">
      <c r="A15" s="20" t="s">
        <v>235</v>
      </c>
      <c r="B15" s="20" t="s">
        <v>185</v>
      </c>
      <c r="C15" s="20" t="s">
        <v>186</v>
      </c>
      <c r="D15" s="20" t="s">
        <v>187</v>
      </c>
      <c r="E15" s="25">
        <v>46125</v>
      </c>
      <c r="F15" s="25">
        <v>46139</v>
      </c>
      <c r="G15" s="25">
        <v>46322</v>
      </c>
      <c r="H15" s="25">
        <v>46324</v>
      </c>
      <c r="I15" s="19" t="s">
        <v>236</v>
      </c>
      <c r="J15" s="19" t="s">
        <v>28</v>
      </c>
      <c r="K15" s="19" t="str">
        <f>VLOOKUP(J15,Tickers!A:B,2,FALSE)</f>
        <v>万洲国际</v>
      </c>
      <c r="L15" s="26">
        <v>85</v>
      </c>
      <c r="M15" s="26">
        <v>9.9</v>
      </c>
      <c r="N15" s="20" t="s">
        <v>189</v>
      </c>
      <c r="O15" s="26">
        <v>100</v>
      </c>
      <c r="P15" s="20" t="s">
        <v>190</v>
      </c>
      <c r="Q15" s="21">
        <v>1</v>
      </c>
      <c r="R15" s="26" t="s">
        <v>191</v>
      </c>
      <c r="S15" s="21" t="s">
        <v>192</v>
      </c>
      <c r="T15" s="21" t="s">
        <v>206</v>
      </c>
      <c r="U15" s="21" t="s">
        <v>194</v>
      </c>
      <c r="V15" s="27">
        <v>99</v>
      </c>
    </row>
    <row r="16" spans="1:24" ht="45">
      <c r="A16" s="20" t="s">
        <v>211</v>
      </c>
      <c r="B16" s="20" t="s">
        <v>185</v>
      </c>
      <c r="C16" s="20" t="s">
        <v>186</v>
      </c>
      <c r="D16" s="20" t="s">
        <v>187</v>
      </c>
      <c r="E16" s="25">
        <v>46125</v>
      </c>
      <c r="F16" s="25">
        <v>46139</v>
      </c>
      <c r="G16" s="25">
        <v>46322</v>
      </c>
      <c r="H16" s="25">
        <v>46324</v>
      </c>
      <c r="I16" s="19" t="s">
        <v>212</v>
      </c>
      <c r="J16" s="19" t="s">
        <v>154</v>
      </c>
      <c r="K16" s="19" t="str">
        <f>VLOOKUP(J16,Tickers!A:B,2,FALSE)</f>
        <v>中海油</v>
      </c>
      <c r="L16" s="26">
        <v>85</v>
      </c>
      <c r="M16" s="26">
        <v>9.77</v>
      </c>
      <c r="N16" s="20" t="s">
        <v>189</v>
      </c>
      <c r="O16" s="26">
        <v>100</v>
      </c>
      <c r="P16" s="20" t="s">
        <v>190</v>
      </c>
      <c r="Q16" s="21">
        <v>1</v>
      </c>
      <c r="R16" s="26" t="s">
        <v>191</v>
      </c>
      <c r="S16" s="21" t="s">
        <v>192</v>
      </c>
      <c r="T16" s="21" t="s">
        <v>205</v>
      </c>
      <c r="U16" s="21" t="s">
        <v>194</v>
      </c>
      <c r="V16" s="27">
        <v>99</v>
      </c>
    </row>
    <row r="17" spans="1:22" ht="45">
      <c r="A17" s="20" t="s">
        <v>203</v>
      </c>
      <c r="B17" s="20" t="s">
        <v>185</v>
      </c>
      <c r="C17" s="20" t="s">
        <v>186</v>
      </c>
      <c r="D17" s="20" t="s">
        <v>187</v>
      </c>
      <c r="E17" s="25">
        <v>46125</v>
      </c>
      <c r="F17" s="25">
        <v>46139</v>
      </c>
      <c r="G17" s="25">
        <v>46322</v>
      </c>
      <c r="H17" s="25">
        <v>46324</v>
      </c>
      <c r="I17" s="19" t="s">
        <v>204</v>
      </c>
      <c r="J17" s="19" t="s">
        <v>26</v>
      </c>
      <c r="K17" s="19" t="str">
        <f>VLOOKUP(J17,Tickers!A:B,2,FALSE)</f>
        <v>南方恒生科技指数ETF</v>
      </c>
      <c r="L17" s="26">
        <v>85</v>
      </c>
      <c r="M17" s="26">
        <v>9.68</v>
      </c>
      <c r="N17" s="20" t="s">
        <v>189</v>
      </c>
      <c r="O17" s="26">
        <v>100</v>
      </c>
      <c r="P17" s="20" t="s">
        <v>190</v>
      </c>
      <c r="Q17" s="21">
        <v>1</v>
      </c>
      <c r="R17" s="26" t="s">
        <v>191</v>
      </c>
      <c r="S17" s="21" t="s">
        <v>192</v>
      </c>
      <c r="T17" s="21" t="s">
        <v>205</v>
      </c>
      <c r="U17" s="21" t="s">
        <v>194</v>
      </c>
      <c r="V17" s="27">
        <v>99</v>
      </c>
    </row>
    <row r="18" spans="1:22" ht="45">
      <c r="A18" s="20" t="s">
        <v>219</v>
      </c>
      <c r="B18" s="20" t="s">
        <v>185</v>
      </c>
      <c r="C18" s="20" t="s">
        <v>186</v>
      </c>
      <c r="D18" s="20" t="s">
        <v>187</v>
      </c>
      <c r="E18" s="25">
        <v>46125</v>
      </c>
      <c r="F18" s="25">
        <v>46139</v>
      </c>
      <c r="G18" s="25">
        <v>46322</v>
      </c>
      <c r="H18" s="25">
        <v>46324</v>
      </c>
      <c r="I18" s="19" t="s">
        <v>220</v>
      </c>
      <c r="J18" s="19" t="s">
        <v>152</v>
      </c>
      <c r="K18" s="19" t="str">
        <f>VLOOKUP(J18,Tickers!A:B,2,FALSE)</f>
        <v>汇丰控股</v>
      </c>
      <c r="L18" s="26">
        <v>85</v>
      </c>
      <c r="M18" s="26">
        <v>9.32</v>
      </c>
      <c r="N18" s="20" t="s">
        <v>189</v>
      </c>
      <c r="O18" s="26">
        <v>100</v>
      </c>
      <c r="P18" s="20" t="s">
        <v>190</v>
      </c>
      <c r="Q18" s="21">
        <v>1</v>
      </c>
      <c r="R18" s="26" t="s">
        <v>191</v>
      </c>
      <c r="S18" s="21" t="s">
        <v>192</v>
      </c>
      <c r="T18" s="21" t="s">
        <v>221</v>
      </c>
      <c r="U18" s="21" t="s">
        <v>198</v>
      </c>
      <c r="V18" s="27">
        <v>99</v>
      </c>
    </row>
    <row r="19" spans="1:22" ht="45">
      <c r="A19" s="20" t="s">
        <v>222</v>
      </c>
      <c r="B19" s="20" t="s">
        <v>185</v>
      </c>
      <c r="C19" s="20" t="s">
        <v>186</v>
      </c>
      <c r="D19" s="20" t="s">
        <v>187</v>
      </c>
      <c r="E19" s="25">
        <v>46125</v>
      </c>
      <c r="F19" s="25">
        <v>46139</v>
      </c>
      <c r="G19" s="25">
        <v>46322</v>
      </c>
      <c r="H19" s="25">
        <v>46324</v>
      </c>
      <c r="I19" s="19" t="s">
        <v>223</v>
      </c>
      <c r="J19" s="19" t="s">
        <v>158</v>
      </c>
      <c r="K19" s="19" t="str">
        <f>VLOOKUP(J19,Tickers!A:B,2,FALSE)</f>
        <v>长和集团</v>
      </c>
      <c r="L19" s="26">
        <v>85</v>
      </c>
      <c r="M19" s="26">
        <v>8.69</v>
      </c>
      <c r="N19" s="20" t="s">
        <v>189</v>
      </c>
      <c r="O19" s="26">
        <v>100</v>
      </c>
      <c r="P19" s="20" t="s">
        <v>190</v>
      </c>
      <c r="Q19" s="21">
        <v>1</v>
      </c>
      <c r="R19" s="26" t="s">
        <v>191</v>
      </c>
      <c r="S19" s="21" t="s">
        <v>192</v>
      </c>
      <c r="T19" s="21" t="s">
        <v>197</v>
      </c>
      <c r="U19" s="21" t="s">
        <v>198</v>
      </c>
      <c r="V19" s="27">
        <v>99</v>
      </c>
    </row>
    <row r="20" spans="1:22" ht="45">
      <c r="A20" s="18" t="s">
        <v>184</v>
      </c>
      <c r="B20" s="18" t="s">
        <v>185</v>
      </c>
      <c r="C20" s="18" t="s">
        <v>186</v>
      </c>
      <c r="D20" s="18" t="s">
        <v>187</v>
      </c>
      <c r="E20" s="25">
        <v>46125</v>
      </c>
      <c r="F20" s="25">
        <v>46139</v>
      </c>
      <c r="G20" s="25">
        <v>46322</v>
      </c>
      <c r="H20" s="25">
        <v>46324</v>
      </c>
      <c r="I20" s="19" t="s">
        <v>188</v>
      </c>
      <c r="J20" s="19" t="s">
        <v>22</v>
      </c>
      <c r="K20" s="19" t="str">
        <f>VLOOKUP(J20,Tickers!A:B,2,FALSE)</f>
        <v>腾讯控股</v>
      </c>
      <c r="L20" s="26">
        <v>85</v>
      </c>
      <c r="M20" s="26">
        <v>8.15</v>
      </c>
      <c r="N20" s="20" t="s">
        <v>189</v>
      </c>
      <c r="O20" s="26">
        <v>100</v>
      </c>
      <c r="P20" s="20" t="s">
        <v>190</v>
      </c>
      <c r="Q20" s="21">
        <v>1</v>
      </c>
      <c r="R20" s="26" t="s">
        <v>191</v>
      </c>
      <c r="S20" s="21" t="s">
        <v>192</v>
      </c>
      <c r="T20" s="21" t="s">
        <v>193</v>
      </c>
      <c r="U20" s="21" t="s">
        <v>194</v>
      </c>
      <c r="V20" s="27">
        <v>99</v>
      </c>
    </row>
    <row r="21" spans="1:22" ht="45">
      <c r="A21" s="20" t="s">
        <v>237</v>
      </c>
      <c r="B21" s="20" t="s">
        <v>185</v>
      </c>
      <c r="C21" s="20" t="s">
        <v>186</v>
      </c>
      <c r="D21" s="20" t="s">
        <v>187</v>
      </c>
      <c r="E21" s="25">
        <v>46125</v>
      </c>
      <c r="F21" s="25">
        <v>46139</v>
      </c>
      <c r="G21" s="25">
        <v>46322</v>
      </c>
      <c r="H21" s="25">
        <v>46324</v>
      </c>
      <c r="I21" s="19" t="s">
        <v>238</v>
      </c>
      <c r="J21" s="19" t="s">
        <v>151</v>
      </c>
      <c r="K21" s="19" t="str">
        <f>VLOOKUP(J21,Tickers!A:B,2,FALSE)</f>
        <v>中石化</v>
      </c>
      <c r="L21" s="26">
        <v>85</v>
      </c>
      <c r="M21" s="26">
        <v>7.05</v>
      </c>
      <c r="N21" s="20" t="s">
        <v>189</v>
      </c>
      <c r="O21" s="26">
        <v>100</v>
      </c>
      <c r="P21" s="20" t="s">
        <v>190</v>
      </c>
      <c r="Q21" s="21">
        <v>1</v>
      </c>
      <c r="R21" s="26" t="s">
        <v>191</v>
      </c>
      <c r="S21" s="21" t="s">
        <v>192</v>
      </c>
      <c r="T21" s="21" t="s">
        <v>205</v>
      </c>
      <c r="U21" s="21" t="s">
        <v>194</v>
      </c>
      <c r="V21" s="27">
        <v>99</v>
      </c>
    </row>
  </sheetData>
  <sortState ref="A2:X21">
    <sortCondition descending="1" ref="M2:M2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2"/>
  <sheetViews>
    <sheetView topLeftCell="A25" zoomScale="55" zoomScaleNormal="55" workbookViewId="0">
      <selection activeCell="A2" sqref="A2:X32"/>
    </sheetView>
  </sheetViews>
  <sheetFormatPr defaultColWidth="9.140625" defaultRowHeight="15"/>
  <cols>
    <col min="1" max="4" width="9.140625" style="2"/>
    <col min="5" max="5" width="11.28515625" style="16" customWidth="1"/>
    <col min="6" max="6" width="12" style="16" bestFit="1" customWidth="1"/>
    <col min="7" max="7" width="14.28515625" style="16" customWidth="1"/>
    <col min="8" max="8" width="12.140625" style="16" bestFit="1" customWidth="1"/>
    <col min="9" max="9" width="13.7109375" style="2" customWidth="1"/>
    <col min="10" max="10" width="15.42578125" style="2" customWidth="1"/>
    <col min="11" max="11" width="15.140625" style="2" customWidth="1"/>
    <col min="12" max="12" width="9.140625" style="2"/>
    <col min="13" max="13" width="13.140625" style="2" bestFit="1" customWidth="1"/>
    <col min="14" max="14" width="13.85546875" style="2" bestFit="1" customWidth="1"/>
    <col min="15" max="16" width="9.140625" style="2"/>
    <col min="17" max="17" width="18.140625" style="2" customWidth="1"/>
    <col min="18" max="19" width="9.140625" style="2"/>
    <col min="20" max="20" width="12.85546875" style="2" customWidth="1"/>
    <col min="21" max="21" width="9.140625" style="2"/>
    <col min="22" max="22" width="11.7109375" style="2" customWidth="1"/>
    <col min="23" max="16384" width="9.140625" style="2"/>
  </cols>
  <sheetData>
    <row r="1" spans="1:24" ht="30.75" customHeight="1">
      <c r="A1" s="10" t="s">
        <v>75</v>
      </c>
      <c r="B1" s="10" t="s">
        <v>76</v>
      </c>
      <c r="C1" s="10" t="s">
        <v>77</v>
      </c>
      <c r="D1" s="10" t="s">
        <v>78</v>
      </c>
      <c r="E1" s="15" t="s">
        <v>79</v>
      </c>
      <c r="F1" s="15" t="s">
        <v>80</v>
      </c>
      <c r="G1" s="15" t="s">
        <v>81</v>
      </c>
      <c r="H1" s="15" t="s">
        <v>82</v>
      </c>
      <c r="I1" s="10" t="s">
        <v>83</v>
      </c>
      <c r="J1" s="10" t="s">
        <v>84</v>
      </c>
      <c r="K1" s="10" t="s">
        <v>85</v>
      </c>
      <c r="L1" s="10" t="s">
        <v>86</v>
      </c>
      <c r="M1" s="10" t="s">
        <v>87</v>
      </c>
      <c r="N1" s="10" t="s">
        <v>88</v>
      </c>
      <c r="O1" s="10" t="s">
        <v>89</v>
      </c>
      <c r="P1" s="10" t="s">
        <v>90</v>
      </c>
      <c r="Q1" s="10" t="s">
        <v>91</v>
      </c>
      <c r="R1" s="10" t="s">
        <v>92</v>
      </c>
      <c r="S1" s="10" t="s">
        <v>93</v>
      </c>
      <c r="T1" s="10" t="s">
        <v>94</v>
      </c>
      <c r="U1" s="10" t="s">
        <v>95</v>
      </c>
      <c r="V1" s="11" t="s">
        <v>96</v>
      </c>
      <c r="X1" s="1" t="s">
        <v>98</v>
      </c>
    </row>
    <row r="2" spans="1:24" ht="45">
      <c r="A2" s="20" t="s">
        <v>254</v>
      </c>
      <c r="B2" s="20" t="s">
        <v>185</v>
      </c>
      <c r="C2" s="20" t="s">
        <v>244</v>
      </c>
      <c r="D2" s="20" t="s">
        <v>187</v>
      </c>
      <c r="E2" s="25">
        <v>46125</v>
      </c>
      <c r="F2" s="25">
        <v>46139</v>
      </c>
      <c r="G2" s="25">
        <v>46322</v>
      </c>
      <c r="H2" s="25">
        <v>46324</v>
      </c>
      <c r="I2" s="19" t="s">
        <v>255</v>
      </c>
      <c r="J2" s="19" t="s">
        <v>31</v>
      </c>
      <c r="K2" s="19" t="str">
        <f>VLOOKUP(J2,Tickers!A:B,2,FALSE)</f>
        <v>超微计算机</v>
      </c>
      <c r="L2" s="26">
        <v>80</v>
      </c>
      <c r="M2" s="26">
        <v>44.9</v>
      </c>
      <c r="N2" s="20" t="s">
        <v>189</v>
      </c>
      <c r="O2" s="26">
        <v>100</v>
      </c>
      <c r="P2" s="20" t="s">
        <v>190</v>
      </c>
      <c r="Q2" s="21">
        <v>1</v>
      </c>
      <c r="R2" s="26" t="s">
        <v>191</v>
      </c>
      <c r="S2" s="21" t="s">
        <v>192</v>
      </c>
      <c r="T2" s="21" t="s">
        <v>246</v>
      </c>
      <c r="U2" s="21" t="s">
        <v>198</v>
      </c>
      <c r="V2" s="27">
        <v>99</v>
      </c>
    </row>
    <row r="3" spans="1:24" ht="45">
      <c r="A3" s="20" t="s">
        <v>247</v>
      </c>
      <c r="B3" s="20" t="s">
        <v>185</v>
      </c>
      <c r="C3" s="20" t="s">
        <v>244</v>
      </c>
      <c r="D3" s="20" t="s">
        <v>187</v>
      </c>
      <c r="E3" s="25">
        <v>46125</v>
      </c>
      <c r="F3" s="25">
        <v>46139</v>
      </c>
      <c r="G3" s="25">
        <v>46322</v>
      </c>
      <c r="H3" s="25">
        <v>46324</v>
      </c>
      <c r="I3" s="19" t="s">
        <v>248</v>
      </c>
      <c r="J3" s="19" t="s">
        <v>30</v>
      </c>
      <c r="K3" s="19" t="str">
        <f>VLOOKUP(J3,Tickers!A:B,2,FALSE)</f>
        <v>微策略</v>
      </c>
      <c r="L3" s="26">
        <v>80</v>
      </c>
      <c r="M3" s="26">
        <v>38.5</v>
      </c>
      <c r="N3" s="20" t="s">
        <v>189</v>
      </c>
      <c r="O3" s="26">
        <v>100</v>
      </c>
      <c r="P3" s="20" t="s">
        <v>190</v>
      </c>
      <c r="Q3" s="21">
        <v>1</v>
      </c>
      <c r="R3" s="26" t="s">
        <v>191</v>
      </c>
      <c r="S3" s="21" t="s">
        <v>192</v>
      </c>
      <c r="T3" s="21" t="s">
        <v>246</v>
      </c>
      <c r="U3" s="21" t="s">
        <v>198</v>
      </c>
      <c r="V3" s="27">
        <v>99</v>
      </c>
    </row>
    <row r="4" spans="1:24" ht="45">
      <c r="A4" s="20" t="s">
        <v>264</v>
      </c>
      <c r="B4" s="20" t="s">
        <v>185</v>
      </c>
      <c r="C4" s="20" t="s">
        <v>244</v>
      </c>
      <c r="D4" s="20" t="s">
        <v>187</v>
      </c>
      <c r="E4" s="25">
        <v>46125</v>
      </c>
      <c r="F4" s="25">
        <v>46139</v>
      </c>
      <c r="G4" s="25">
        <v>46322</v>
      </c>
      <c r="H4" s="25">
        <v>46324</v>
      </c>
      <c r="I4" s="19" t="s">
        <v>265</v>
      </c>
      <c r="J4" s="19" t="s">
        <v>54</v>
      </c>
      <c r="K4" s="19" t="str">
        <f>VLOOKUP(J4,Tickers!A:B,2,FALSE)</f>
        <v>Snowflake Inc.</v>
      </c>
      <c r="L4" s="26">
        <v>80</v>
      </c>
      <c r="M4" s="26">
        <v>34.65</v>
      </c>
      <c r="N4" s="20" t="s">
        <v>189</v>
      </c>
      <c r="O4" s="26">
        <v>100</v>
      </c>
      <c r="P4" s="20" t="s">
        <v>190</v>
      </c>
      <c r="Q4" s="21">
        <v>1</v>
      </c>
      <c r="R4" s="26" t="s">
        <v>191</v>
      </c>
      <c r="S4" s="21" t="s">
        <v>192</v>
      </c>
      <c r="T4" s="21" t="s">
        <v>266</v>
      </c>
      <c r="U4" s="21" t="s">
        <v>267</v>
      </c>
      <c r="V4" s="27">
        <v>99</v>
      </c>
    </row>
    <row r="5" spans="1:24" ht="45">
      <c r="A5" s="20" t="s">
        <v>295</v>
      </c>
      <c r="B5" s="20" t="s">
        <v>185</v>
      </c>
      <c r="C5" s="20" t="s">
        <v>244</v>
      </c>
      <c r="D5" s="20" t="s">
        <v>187</v>
      </c>
      <c r="E5" s="25">
        <v>46125</v>
      </c>
      <c r="F5" s="25">
        <v>46139</v>
      </c>
      <c r="G5" s="25">
        <v>46322</v>
      </c>
      <c r="H5" s="25">
        <v>46324</v>
      </c>
      <c r="I5" s="19" t="s">
        <v>296</v>
      </c>
      <c r="J5" s="19" t="s">
        <v>45</v>
      </c>
      <c r="K5" s="19" t="str">
        <f>VLOOKUP(J5,Tickers!A:B,2,FALSE)</f>
        <v>美光科技</v>
      </c>
      <c r="L5" s="26">
        <v>80</v>
      </c>
      <c r="M5" s="26">
        <v>33.18</v>
      </c>
      <c r="N5" s="20" t="s">
        <v>189</v>
      </c>
      <c r="O5" s="26">
        <v>100</v>
      </c>
      <c r="P5" s="20" t="s">
        <v>190</v>
      </c>
      <c r="Q5" s="21">
        <v>1</v>
      </c>
      <c r="R5" s="26" t="s">
        <v>191</v>
      </c>
      <c r="S5" s="21" t="s">
        <v>192</v>
      </c>
      <c r="T5" s="21" t="s">
        <v>246</v>
      </c>
      <c r="U5" s="21" t="s">
        <v>198</v>
      </c>
      <c r="V5" s="27">
        <v>99</v>
      </c>
    </row>
    <row r="6" spans="1:24" ht="45">
      <c r="A6" s="20" t="s">
        <v>268</v>
      </c>
      <c r="B6" s="20" t="s">
        <v>185</v>
      </c>
      <c r="C6" s="20" t="s">
        <v>244</v>
      </c>
      <c r="D6" s="20" t="s">
        <v>187</v>
      </c>
      <c r="E6" s="25">
        <v>46125</v>
      </c>
      <c r="F6" s="25">
        <v>46139</v>
      </c>
      <c r="G6" s="25">
        <v>46322</v>
      </c>
      <c r="H6" s="25">
        <v>46324</v>
      </c>
      <c r="I6" s="19" t="s">
        <v>269</v>
      </c>
      <c r="J6" s="19" t="s">
        <v>43</v>
      </c>
      <c r="K6" s="19" t="str">
        <f>VLOOKUP(J6,Tickers!A:B,2,FALSE)</f>
        <v>英特尔</v>
      </c>
      <c r="L6" s="26">
        <v>80</v>
      </c>
      <c r="M6" s="26">
        <v>29.89</v>
      </c>
      <c r="N6" s="20" t="s">
        <v>189</v>
      </c>
      <c r="O6" s="26">
        <v>100</v>
      </c>
      <c r="P6" s="20" t="s">
        <v>190</v>
      </c>
      <c r="Q6" s="21">
        <v>1</v>
      </c>
      <c r="R6" s="26" t="s">
        <v>191</v>
      </c>
      <c r="S6" s="21" t="s">
        <v>192</v>
      </c>
      <c r="T6" s="21" t="s">
        <v>246</v>
      </c>
      <c r="U6" s="21" t="s">
        <v>198</v>
      </c>
      <c r="V6" s="27">
        <v>99</v>
      </c>
    </row>
    <row r="7" spans="1:24" ht="45">
      <c r="A7" s="20" t="s">
        <v>256</v>
      </c>
      <c r="B7" s="20" t="s">
        <v>185</v>
      </c>
      <c r="C7" s="20" t="s">
        <v>244</v>
      </c>
      <c r="D7" s="20" t="s">
        <v>187</v>
      </c>
      <c r="E7" s="25">
        <v>46125</v>
      </c>
      <c r="F7" s="25">
        <v>46139</v>
      </c>
      <c r="G7" s="25">
        <v>46322</v>
      </c>
      <c r="H7" s="25">
        <v>46324</v>
      </c>
      <c r="I7" s="19" t="s">
        <v>257</v>
      </c>
      <c r="J7" s="19" t="s">
        <v>33</v>
      </c>
      <c r="K7" s="19" t="str">
        <f>VLOOKUP(J7,Tickers!A:B,2,FALSE)</f>
        <v>蔚来</v>
      </c>
      <c r="L7" s="26">
        <v>80</v>
      </c>
      <c r="M7" s="26">
        <v>29.49</v>
      </c>
      <c r="N7" s="20" t="s">
        <v>189</v>
      </c>
      <c r="O7" s="26">
        <v>100</v>
      </c>
      <c r="P7" s="20" t="s">
        <v>190</v>
      </c>
      <c r="Q7" s="21">
        <v>1</v>
      </c>
      <c r="R7" s="26" t="s">
        <v>191</v>
      </c>
      <c r="S7" s="21" t="s">
        <v>192</v>
      </c>
      <c r="T7" s="21" t="s">
        <v>246</v>
      </c>
      <c r="U7" s="21" t="s">
        <v>234</v>
      </c>
      <c r="V7" s="27">
        <v>99</v>
      </c>
    </row>
    <row r="8" spans="1:24" ht="45">
      <c r="A8" s="20" t="s">
        <v>262</v>
      </c>
      <c r="B8" s="20" t="s">
        <v>185</v>
      </c>
      <c r="C8" s="20" t="s">
        <v>244</v>
      </c>
      <c r="D8" s="20" t="s">
        <v>187</v>
      </c>
      <c r="E8" s="25">
        <v>46125</v>
      </c>
      <c r="F8" s="25">
        <v>46139</v>
      </c>
      <c r="G8" s="25">
        <v>46322</v>
      </c>
      <c r="H8" s="25">
        <v>46324</v>
      </c>
      <c r="I8" s="19" t="s">
        <v>263</v>
      </c>
      <c r="J8" s="19" t="s">
        <v>182</v>
      </c>
      <c r="K8" s="19" t="str">
        <f>VLOOKUP(J8,Tickers!A:B,2,FALSE)</f>
        <v>Palantir</v>
      </c>
      <c r="L8" s="26">
        <v>80</v>
      </c>
      <c r="M8" s="26">
        <v>28.26</v>
      </c>
      <c r="N8" s="20" t="s">
        <v>189</v>
      </c>
      <c r="O8" s="26">
        <v>100</v>
      </c>
      <c r="P8" s="20" t="s">
        <v>190</v>
      </c>
      <c r="Q8" s="21">
        <v>1</v>
      </c>
      <c r="R8" s="26" t="s">
        <v>191</v>
      </c>
      <c r="S8" s="21" t="s">
        <v>192</v>
      </c>
      <c r="T8" s="21" t="s">
        <v>246</v>
      </c>
      <c r="U8" s="21" t="s">
        <v>198</v>
      </c>
      <c r="V8" s="27">
        <v>99</v>
      </c>
    </row>
    <row r="9" spans="1:24" ht="45">
      <c r="A9" s="20" t="s">
        <v>270</v>
      </c>
      <c r="B9" s="20" t="s">
        <v>185</v>
      </c>
      <c r="C9" s="20" t="s">
        <v>244</v>
      </c>
      <c r="D9" s="20" t="s">
        <v>187</v>
      </c>
      <c r="E9" s="25">
        <v>46125</v>
      </c>
      <c r="F9" s="25">
        <v>46139</v>
      </c>
      <c r="G9" s="25">
        <v>46322</v>
      </c>
      <c r="H9" s="25">
        <v>46324</v>
      </c>
      <c r="I9" s="19" t="s">
        <v>271</v>
      </c>
      <c r="J9" s="19" t="s">
        <v>56</v>
      </c>
      <c r="K9" s="19" t="str">
        <f>VLOOKUP(J9,Tickers!A:B,2,FALSE)</f>
        <v>超威半导体</v>
      </c>
      <c r="L9" s="26">
        <v>80</v>
      </c>
      <c r="M9" s="26">
        <v>24.44</v>
      </c>
      <c r="N9" s="20" t="s">
        <v>189</v>
      </c>
      <c r="O9" s="26">
        <v>100</v>
      </c>
      <c r="P9" s="20" t="s">
        <v>190</v>
      </c>
      <c r="Q9" s="21">
        <v>1</v>
      </c>
      <c r="R9" s="26" t="s">
        <v>191</v>
      </c>
      <c r="S9" s="21" t="s">
        <v>192</v>
      </c>
      <c r="T9" s="21" t="s">
        <v>252</v>
      </c>
      <c r="U9" s="21" t="s">
        <v>253</v>
      </c>
      <c r="V9" s="27">
        <v>99</v>
      </c>
    </row>
    <row r="10" spans="1:24" ht="45">
      <c r="A10" s="20" t="s">
        <v>304</v>
      </c>
      <c r="B10" s="20" t="s">
        <v>185</v>
      </c>
      <c r="C10" s="20" t="s">
        <v>244</v>
      </c>
      <c r="D10" s="20" t="s">
        <v>187</v>
      </c>
      <c r="E10" s="25">
        <v>46125</v>
      </c>
      <c r="F10" s="25">
        <v>46139</v>
      </c>
      <c r="G10" s="25">
        <v>46322</v>
      </c>
      <c r="H10" s="25">
        <v>46324</v>
      </c>
      <c r="I10" s="19" t="s">
        <v>305</v>
      </c>
      <c r="J10" s="19" t="s">
        <v>35</v>
      </c>
      <c r="K10" s="19" t="str">
        <f>VLOOKUP(J10,Tickers!A:B,2,FALSE)</f>
        <v>爱奇艺</v>
      </c>
      <c r="L10" s="26">
        <v>80</v>
      </c>
      <c r="M10" s="26">
        <v>23.72</v>
      </c>
      <c r="N10" s="20" t="s">
        <v>189</v>
      </c>
      <c r="O10" s="26">
        <v>100</v>
      </c>
      <c r="P10" s="20" t="s">
        <v>190</v>
      </c>
      <c r="Q10" s="21">
        <v>1</v>
      </c>
      <c r="R10" s="26" t="s">
        <v>191</v>
      </c>
      <c r="S10" s="21" t="s">
        <v>192</v>
      </c>
      <c r="T10" s="21" t="s">
        <v>306</v>
      </c>
      <c r="U10" s="21" t="s">
        <v>249</v>
      </c>
      <c r="V10" s="27">
        <v>99</v>
      </c>
    </row>
    <row r="11" spans="1:24" ht="45">
      <c r="A11" s="20" t="s">
        <v>309</v>
      </c>
      <c r="B11" s="20" t="s">
        <v>185</v>
      </c>
      <c r="C11" s="20" t="s">
        <v>244</v>
      </c>
      <c r="D11" s="20" t="s">
        <v>187</v>
      </c>
      <c r="E11" s="25">
        <v>46125</v>
      </c>
      <c r="F11" s="25">
        <v>46139</v>
      </c>
      <c r="G11" s="25">
        <v>46322</v>
      </c>
      <c r="H11" s="25">
        <v>46324</v>
      </c>
      <c r="I11" s="19" t="s">
        <v>310</v>
      </c>
      <c r="J11" s="19" t="s">
        <v>39</v>
      </c>
      <c r="K11" s="19" t="str">
        <f>VLOOKUP(J11,Tickers!A:B,2,FALSE)</f>
        <v>富途控股</v>
      </c>
      <c r="L11" s="26">
        <v>80</v>
      </c>
      <c r="M11" s="26">
        <v>21.06</v>
      </c>
      <c r="N11" s="20" t="s">
        <v>189</v>
      </c>
      <c r="O11" s="26">
        <v>100</v>
      </c>
      <c r="P11" s="20" t="s">
        <v>190</v>
      </c>
      <c r="Q11" s="21">
        <v>1</v>
      </c>
      <c r="R11" s="26" t="s">
        <v>191</v>
      </c>
      <c r="S11" s="21" t="s">
        <v>192</v>
      </c>
      <c r="T11" s="21" t="s">
        <v>246</v>
      </c>
      <c r="U11" s="21" t="s">
        <v>234</v>
      </c>
      <c r="V11" s="27">
        <v>99</v>
      </c>
    </row>
    <row r="12" spans="1:24" ht="45">
      <c r="A12" s="20" t="s">
        <v>288</v>
      </c>
      <c r="B12" s="20" t="s">
        <v>185</v>
      </c>
      <c r="C12" s="20" t="s">
        <v>244</v>
      </c>
      <c r="D12" s="20" t="s">
        <v>187</v>
      </c>
      <c r="E12" s="25">
        <v>46125</v>
      </c>
      <c r="F12" s="25">
        <v>46139</v>
      </c>
      <c r="G12" s="25">
        <v>46322</v>
      </c>
      <c r="H12" s="25">
        <v>46324</v>
      </c>
      <c r="I12" s="19" t="s">
        <v>289</v>
      </c>
      <c r="J12" s="19" t="s">
        <v>66</v>
      </c>
      <c r="K12" s="19" t="str">
        <f>VLOOKUP(J12,Tickers!A:B,2,FALSE)</f>
        <v>赛富时</v>
      </c>
      <c r="L12" s="26">
        <v>80</v>
      </c>
      <c r="M12" s="26">
        <v>19.12</v>
      </c>
      <c r="N12" s="20" t="s">
        <v>189</v>
      </c>
      <c r="O12" s="26">
        <v>100</v>
      </c>
      <c r="P12" s="20" t="s">
        <v>190</v>
      </c>
      <c r="Q12" s="21">
        <v>1</v>
      </c>
      <c r="R12" s="26" t="s">
        <v>191</v>
      </c>
      <c r="S12" s="21" t="s">
        <v>192</v>
      </c>
      <c r="T12" s="21" t="s">
        <v>246</v>
      </c>
      <c r="U12" s="21" t="s">
        <v>234</v>
      </c>
      <c r="V12" s="27">
        <v>99</v>
      </c>
    </row>
    <row r="13" spans="1:24" ht="45">
      <c r="A13" s="20" t="s">
        <v>311</v>
      </c>
      <c r="B13" s="20" t="s">
        <v>185</v>
      </c>
      <c r="C13" s="20" t="s">
        <v>244</v>
      </c>
      <c r="D13" s="20" t="s">
        <v>187</v>
      </c>
      <c r="E13" s="25">
        <v>46125</v>
      </c>
      <c r="F13" s="25">
        <v>46139</v>
      </c>
      <c r="G13" s="25">
        <v>46322</v>
      </c>
      <c r="H13" s="25">
        <v>46324</v>
      </c>
      <c r="I13" s="19" t="s">
        <v>312</v>
      </c>
      <c r="J13" s="19" t="s">
        <v>52</v>
      </c>
      <c r="K13" s="19" t="str">
        <f>VLOOKUP(J13,Tickers!A:B,2,FALSE)</f>
        <v>腾讯音乐</v>
      </c>
      <c r="L13" s="26">
        <v>80</v>
      </c>
      <c r="M13" s="26">
        <v>18.95</v>
      </c>
      <c r="N13" s="20" t="s">
        <v>189</v>
      </c>
      <c r="O13" s="26">
        <v>100</v>
      </c>
      <c r="P13" s="20" t="s">
        <v>190</v>
      </c>
      <c r="Q13" s="21">
        <v>1</v>
      </c>
      <c r="R13" s="26" t="s">
        <v>191</v>
      </c>
      <c r="S13" s="21" t="s">
        <v>192</v>
      </c>
      <c r="T13" s="21" t="s">
        <v>292</v>
      </c>
      <c r="U13" s="21" t="s">
        <v>194</v>
      </c>
      <c r="V13" s="27">
        <v>99</v>
      </c>
    </row>
    <row r="14" spans="1:24" ht="45">
      <c r="A14" s="18" t="s">
        <v>243</v>
      </c>
      <c r="B14" s="18" t="s">
        <v>185</v>
      </c>
      <c r="C14" s="18" t="s">
        <v>244</v>
      </c>
      <c r="D14" s="18" t="s">
        <v>187</v>
      </c>
      <c r="E14" s="25">
        <v>46125</v>
      </c>
      <c r="F14" s="25">
        <v>46139</v>
      </c>
      <c r="G14" s="25">
        <v>46322</v>
      </c>
      <c r="H14" s="25">
        <v>46324</v>
      </c>
      <c r="I14" s="19" t="s">
        <v>245</v>
      </c>
      <c r="J14" s="19" t="s">
        <v>41</v>
      </c>
      <c r="K14" s="19" t="str">
        <f>VLOOKUP(J14,Tickers!A:B,2,FALSE)</f>
        <v>特斯拉</v>
      </c>
      <c r="L14" s="26">
        <v>80</v>
      </c>
      <c r="M14" s="26">
        <v>17.760000000000002</v>
      </c>
      <c r="N14" s="20" t="s">
        <v>189</v>
      </c>
      <c r="O14" s="26">
        <v>100</v>
      </c>
      <c r="P14" s="20" t="s">
        <v>190</v>
      </c>
      <c r="Q14" s="21">
        <v>1</v>
      </c>
      <c r="R14" s="26" t="s">
        <v>191</v>
      </c>
      <c r="S14" s="21" t="s">
        <v>192</v>
      </c>
      <c r="T14" s="21" t="s">
        <v>246</v>
      </c>
      <c r="U14" s="21" t="s">
        <v>234</v>
      </c>
      <c r="V14" s="27">
        <v>99</v>
      </c>
    </row>
    <row r="15" spans="1:24" ht="45">
      <c r="A15" s="20" t="s">
        <v>307</v>
      </c>
      <c r="B15" s="20" t="s">
        <v>185</v>
      </c>
      <c r="C15" s="20" t="s">
        <v>244</v>
      </c>
      <c r="D15" s="20" t="s">
        <v>187</v>
      </c>
      <c r="E15" s="25">
        <v>46125</v>
      </c>
      <c r="F15" s="25">
        <v>46139</v>
      </c>
      <c r="G15" s="25">
        <v>46322</v>
      </c>
      <c r="H15" s="25">
        <v>46324</v>
      </c>
      <c r="I15" s="19" t="s">
        <v>308</v>
      </c>
      <c r="J15" s="19" t="s">
        <v>65</v>
      </c>
      <c r="K15" s="19" t="str">
        <f>VLOOKUP(J15,Tickers!A:B,2,FALSE)</f>
        <v>Zoom视频</v>
      </c>
      <c r="L15" s="26">
        <v>80</v>
      </c>
      <c r="M15" s="26">
        <v>16.309999999999999</v>
      </c>
      <c r="N15" s="20" t="s">
        <v>189</v>
      </c>
      <c r="O15" s="26">
        <v>100</v>
      </c>
      <c r="P15" s="20" t="s">
        <v>190</v>
      </c>
      <c r="Q15" s="21">
        <v>1</v>
      </c>
      <c r="R15" s="26" t="s">
        <v>191</v>
      </c>
      <c r="S15" s="21" t="s">
        <v>192</v>
      </c>
      <c r="T15" s="21" t="s">
        <v>246</v>
      </c>
      <c r="U15" s="21" t="s">
        <v>234</v>
      </c>
      <c r="V15" s="27">
        <v>99</v>
      </c>
    </row>
    <row r="16" spans="1:24" ht="45">
      <c r="A16" s="20" t="s">
        <v>290</v>
      </c>
      <c r="B16" s="20" t="s">
        <v>185</v>
      </c>
      <c r="C16" s="20" t="s">
        <v>244</v>
      </c>
      <c r="D16" s="20" t="s">
        <v>187</v>
      </c>
      <c r="E16" s="25">
        <v>46125</v>
      </c>
      <c r="F16" s="25">
        <v>46139</v>
      </c>
      <c r="G16" s="25">
        <v>46322</v>
      </c>
      <c r="H16" s="25">
        <v>46324</v>
      </c>
      <c r="I16" s="19" t="s">
        <v>291</v>
      </c>
      <c r="J16" s="19" t="s">
        <v>60</v>
      </c>
      <c r="K16" s="19" t="str">
        <f>VLOOKUP(J16,Tickers!A:B,2,FALSE)</f>
        <v>奥多比</v>
      </c>
      <c r="L16" s="26">
        <v>80</v>
      </c>
      <c r="M16" s="26">
        <v>16.09</v>
      </c>
      <c r="N16" s="20" t="s">
        <v>189</v>
      </c>
      <c r="O16" s="26">
        <v>100</v>
      </c>
      <c r="P16" s="20" t="s">
        <v>190</v>
      </c>
      <c r="Q16" s="21">
        <v>1</v>
      </c>
      <c r="R16" s="26" t="s">
        <v>191</v>
      </c>
      <c r="S16" s="21" t="s">
        <v>192</v>
      </c>
      <c r="T16" s="21" t="s">
        <v>292</v>
      </c>
      <c r="U16" s="21" t="s">
        <v>194</v>
      </c>
      <c r="V16" s="27">
        <v>99</v>
      </c>
    </row>
    <row r="17" spans="1:22" ht="45">
      <c r="A17" s="20" t="s">
        <v>303</v>
      </c>
      <c r="B17" s="20" t="s">
        <v>185</v>
      </c>
      <c r="C17" s="20" t="s">
        <v>244</v>
      </c>
      <c r="D17" s="20" t="s">
        <v>187</v>
      </c>
      <c r="E17" s="25">
        <v>46125</v>
      </c>
      <c r="F17" s="25">
        <v>46139</v>
      </c>
      <c r="G17" s="25">
        <v>46322</v>
      </c>
      <c r="H17" s="25">
        <v>46324</v>
      </c>
      <c r="I17" s="19" t="s">
        <v>97</v>
      </c>
      <c r="J17" s="19" t="s">
        <v>63</v>
      </c>
      <c r="K17" s="19" t="str">
        <f>VLOOKUP(J17,Tickers!A:B,2,FALSE)</f>
        <v>台积电</v>
      </c>
      <c r="L17" s="26">
        <v>80</v>
      </c>
      <c r="M17" s="26">
        <v>16.07</v>
      </c>
      <c r="N17" s="20" t="s">
        <v>189</v>
      </c>
      <c r="O17" s="26">
        <v>100</v>
      </c>
      <c r="P17" s="20" t="s">
        <v>190</v>
      </c>
      <c r="Q17" s="21">
        <v>1</v>
      </c>
      <c r="R17" s="26" t="s">
        <v>191</v>
      </c>
      <c r="S17" s="21" t="s">
        <v>192</v>
      </c>
      <c r="T17" s="21" t="s">
        <v>246</v>
      </c>
      <c r="U17" s="21" t="s">
        <v>234</v>
      </c>
      <c r="V17" s="27">
        <v>99</v>
      </c>
    </row>
    <row r="18" spans="1:22" ht="45">
      <c r="A18" s="20" t="s">
        <v>275</v>
      </c>
      <c r="B18" s="20" t="s">
        <v>185</v>
      </c>
      <c r="C18" s="20" t="s">
        <v>244</v>
      </c>
      <c r="D18" s="20" t="s">
        <v>187</v>
      </c>
      <c r="E18" s="25">
        <v>46125</v>
      </c>
      <c r="F18" s="25">
        <v>46139</v>
      </c>
      <c r="G18" s="25">
        <v>46322</v>
      </c>
      <c r="H18" s="25">
        <v>46324</v>
      </c>
      <c r="I18" s="19" t="s">
        <v>276</v>
      </c>
      <c r="J18" s="19" t="s">
        <v>62</v>
      </c>
      <c r="K18" s="19" t="str">
        <f>VLOOKUP(J18,Tickers!A:B,2,FALSE)</f>
        <v>百度</v>
      </c>
      <c r="L18" s="26">
        <v>80</v>
      </c>
      <c r="M18" s="26">
        <v>15.84</v>
      </c>
      <c r="N18" s="20" t="s">
        <v>189</v>
      </c>
      <c r="O18" s="26">
        <v>100</v>
      </c>
      <c r="P18" s="20" t="s">
        <v>190</v>
      </c>
      <c r="Q18" s="21">
        <v>1</v>
      </c>
      <c r="R18" s="26" t="s">
        <v>191</v>
      </c>
      <c r="S18" s="21" t="s">
        <v>192</v>
      </c>
      <c r="T18" s="21" t="s">
        <v>277</v>
      </c>
      <c r="U18" s="21" t="s">
        <v>194</v>
      </c>
      <c r="V18" s="27">
        <v>99</v>
      </c>
    </row>
    <row r="19" spans="1:22" ht="45">
      <c r="A19" s="20" t="s">
        <v>272</v>
      </c>
      <c r="B19" s="20" t="s">
        <v>185</v>
      </c>
      <c r="C19" s="20" t="s">
        <v>244</v>
      </c>
      <c r="D19" s="20" t="s">
        <v>187</v>
      </c>
      <c r="E19" s="25">
        <v>46125</v>
      </c>
      <c r="F19" s="25">
        <v>46139</v>
      </c>
      <c r="G19" s="25">
        <v>46322</v>
      </c>
      <c r="H19" s="25">
        <v>46329</v>
      </c>
      <c r="I19" s="19" t="s">
        <v>273</v>
      </c>
      <c r="J19" s="19" t="s">
        <v>67</v>
      </c>
      <c r="K19" s="19" t="str">
        <f>VLOOKUP(J19,Tickers!A:B,2,FALSE)</f>
        <v>阿里巴巴</v>
      </c>
      <c r="L19" s="26">
        <v>80</v>
      </c>
      <c r="M19" s="26">
        <v>14.6</v>
      </c>
      <c r="N19" s="20" t="s">
        <v>189</v>
      </c>
      <c r="O19" s="26">
        <v>100</v>
      </c>
      <c r="P19" s="20" t="s">
        <v>190</v>
      </c>
      <c r="Q19" s="21">
        <v>1</v>
      </c>
      <c r="R19" s="26" t="s">
        <v>191</v>
      </c>
      <c r="S19" s="21" t="s">
        <v>192</v>
      </c>
      <c r="T19" s="21" t="s">
        <v>274</v>
      </c>
      <c r="U19" s="21" t="s">
        <v>224</v>
      </c>
      <c r="V19" s="27">
        <v>99</v>
      </c>
    </row>
    <row r="20" spans="1:22" ht="45">
      <c r="A20" s="20" t="s">
        <v>301</v>
      </c>
      <c r="B20" s="20" t="s">
        <v>185</v>
      </c>
      <c r="C20" s="20" t="s">
        <v>244</v>
      </c>
      <c r="D20" s="20" t="s">
        <v>187</v>
      </c>
      <c r="E20" s="25">
        <v>46125</v>
      </c>
      <c r="F20" s="25">
        <v>46139</v>
      </c>
      <c r="G20" s="25">
        <v>46322</v>
      </c>
      <c r="H20" s="25">
        <v>46324</v>
      </c>
      <c r="I20" s="19" t="s">
        <v>302</v>
      </c>
      <c r="J20" s="19" t="s">
        <v>47</v>
      </c>
      <c r="K20" s="19" t="str">
        <f>VLOOKUP(J20,Tickers!A:B,2,FALSE)</f>
        <v>英伟达</v>
      </c>
      <c r="L20" s="26">
        <v>80</v>
      </c>
      <c r="M20" s="26">
        <v>13.41</v>
      </c>
      <c r="N20" s="20" t="s">
        <v>189</v>
      </c>
      <c r="O20" s="26">
        <v>100</v>
      </c>
      <c r="P20" s="20" t="s">
        <v>190</v>
      </c>
      <c r="Q20" s="21">
        <v>1</v>
      </c>
      <c r="R20" s="26" t="s">
        <v>191</v>
      </c>
      <c r="S20" s="21" t="s">
        <v>192</v>
      </c>
      <c r="T20" s="21" t="s">
        <v>252</v>
      </c>
      <c r="U20" s="21" t="s">
        <v>253</v>
      </c>
      <c r="V20" s="27">
        <v>99</v>
      </c>
    </row>
    <row r="21" spans="1:22" ht="45">
      <c r="A21" s="20" t="s">
        <v>313</v>
      </c>
      <c r="B21" s="20" t="s">
        <v>185</v>
      </c>
      <c r="C21" s="20" t="s">
        <v>244</v>
      </c>
      <c r="D21" s="20" t="s">
        <v>187</v>
      </c>
      <c r="E21" s="25">
        <v>46125</v>
      </c>
      <c r="F21" s="25">
        <v>46139</v>
      </c>
      <c r="G21" s="25">
        <v>46322</v>
      </c>
      <c r="H21" s="25">
        <v>46324</v>
      </c>
      <c r="I21" s="19" t="s">
        <v>314</v>
      </c>
      <c r="J21" s="19" t="s">
        <v>50</v>
      </c>
      <c r="K21" s="19" t="str">
        <f>VLOOKUP(J21,Tickers!A:B,2,FALSE)</f>
        <v>拼多多</v>
      </c>
      <c r="L21" s="26">
        <v>80</v>
      </c>
      <c r="M21" s="26">
        <v>12.96</v>
      </c>
      <c r="N21" s="20" t="s">
        <v>189</v>
      </c>
      <c r="O21" s="26">
        <v>100</v>
      </c>
      <c r="P21" s="20" t="s">
        <v>190</v>
      </c>
      <c r="Q21" s="21">
        <v>1</v>
      </c>
      <c r="R21" s="26" t="s">
        <v>191</v>
      </c>
      <c r="S21" s="21" t="s">
        <v>192</v>
      </c>
      <c r="T21" s="21" t="s">
        <v>315</v>
      </c>
      <c r="U21" s="21" t="s">
        <v>316</v>
      </c>
      <c r="V21" s="27">
        <v>99</v>
      </c>
    </row>
    <row r="22" spans="1:22" ht="45">
      <c r="A22" s="20" t="s">
        <v>286</v>
      </c>
      <c r="B22" s="20" t="s">
        <v>185</v>
      </c>
      <c r="C22" s="20" t="s">
        <v>244</v>
      </c>
      <c r="D22" s="20" t="s">
        <v>187</v>
      </c>
      <c r="E22" s="25">
        <v>46125</v>
      </c>
      <c r="F22" s="25">
        <v>46139</v>
      </c>
      <c r="G22" s="25">
        <v>46322</v>
      </c>
      <c r="H22" s="25">
        <v>46324</v>
      </c>
      <c r="I22" s="19" t="s">
        <v>287</v>
      </c>
      <c r="J22" s="19" t="s">
        <v>49</v>
      </c>
      <c r="K22" s="19" t="str">
        <f>VLOOKUP(J22,Tickers!A:B,2,FALSE)</f>
        <v>京东</v>
      </c>
      <c r="L22" s="26">
        <v>80</v>
      </c>
      <c r="M22" s="26">
        <v>12.9</v>
      </c>
      <c r="N22" s="20" t="s">
        <v>189</v>
      </c>
      <c r="O22" s="26">
        <v>100</v>
      </c>
      <c r="P22" s="20" t="s">
        <v>190</v>
      </c>
      <c r="Q22" s="21">
        <v>1</v>
      </c>
      <c r="R22" s="26" t="s">
        <v>191</v>
      </c>
      <c r="S22" s="21" t="s">
        <v>192</v>
      </c>
      <c r="T22" s="21" t="s">
        <v>246</v>
      </c>
      <c r="U22" s="21" t="s">
        <v>234</v>
      </c>
      <c r="V22" s="27">
        <v>99</v>
      </c>
    </row>
    <row r="23" spans="1:22" ht="45">
      <c r="A23" s="20" t="s">
        <v>282</v>
      </c>
      <c r="B23" s="20" t="s">
        <v>185</v>
      </c>
      <c r="C23" s="20" t="s">
        <v>244</v>
      </c>
      <c r="D23" s="20" t="s">
        <v>187</v>
      </c>
      <c r="E23" s="25">
        <v>46125</v>
      </c>
      <c r="F23" s="25">
        <v>46139</v>
      </c>
      <c r="G23" s="25">
        <v>46322</v>
      </c>
      <c r="H23" s="25">
        <v>46324</v>
      </c>
      <c r="I23" s="19" t="s">
        <v>283</v>
      </c>
      <c r="J23" s="19" t="s">
        <v>68</v>
      </c>
      <c r="K23" s="19" t="str">
        <f>VLOOKUP(J23,Tickers!A:B,2,FALSE)</f>
        <v>Meta</v>
      </c>
      <c r="L23" s="26">
        <v>80</v>
      </c>
      <c r="M23" s="26">
        <v>12.7</v>
      </c>
      <c r="N23" s="20" t="s">
        <v>189</v>
      </c>
      <c r="O23" s="26">
        <v>100</v>
      </c>
      <c r="P23" s="20" t="s">
        <v>190</v>
      </c>
      <c r="Q23" s="21">
        <v>1</v>
      </c>
      <c r="R23" s="26" t="s">
        <v>191</v>
      </c>
      <c r="S23" s="21" t="s">
        <v>192</v>
      </c>
      <c r="T23" s="21" t="s">
        <v>252</v>
      </c>
      <c r="U23" s="21" t="s">
        <v>253</v>
      </c>
      <c r="V23" s="27">
        <v>99</v>
      </c>
    </row>
    <row r="24" spans="1:22" ht="45">
      <c r="A24" s="20" t="s">
        <v>280</v>
      </c>
      <c r="B24" s="20" t="s">
        <v>185</v>
      </c>
      <c r="C24" s="20" t="s">
        <v>244</v>
      </c>
      <c r="D24" s="20" t="s">
        <v>187</v>
      </c>
      <c r="E24" s="25">
        <v>46125</v>
      </c>
      <c r="F24" s="25">
        <v>46139</v>
      </c>
      <c r="G24" s="25">
        <v>46322</v>
      </c>
      <c r="H24" s="25">
        <v>46324</v>
      </c>
      <c r="I24" s="19" t="s">
        <v>281</v>
      </c>
      <c r="J24" s="19" t="s">
        <v>127</v>
      </c>
      <c r="K24" s="19" t="str">
        <f>VLOOKUP(J24,Tickers!A:B,2,FALSE)</f>
        <v>花旗银行</v>
      </c>
      <c r="L24" s="26">
        <v>80</v>
      </c>
      <c r="M24" s="26">
        <v>12.69</v>
      </c>
      <c r="N24" s="20" t="s">
        <v>189</v>
      </c>
      <c r="O24" s="26">
        <v>100</v>
      </c>
      <c r="P24" s="20" t="s">
        <v>190</v>
      </c>
      <c r="Q24" s="21">
        <v>1</v>
      </c>
      <c r="R24" s="26" t="s">
        <v>191</v>
      </c>
      <c r="S24" s="21" t="s">
        <v>192</v>
      </c>
      <c r="T24" s="21" t="s">
        <v>246</v>
      </c>
      <c r="U24" s="21" t="s">
        <v>234</v>
      </c>
      <c r="V24" s="27">
        <v>99</v>
      </c>
    </row>
    <row r="25" spans="1:22" ht="45">
      <c r="A25" s="20" t="s">
        <v>297</v>
      </c>
      <c r="B25" s="20" t="s">
        <v>185</v>
      </c>
      <c r="C25" s="20" t="s">
        <v>244</v>
      </c>
      <c r="D25" s="20" t="s">
        <v>187</v>
      </c>
      <c r="E25" s="25">
        <v>46125</v>
      </c>
      <c r="F25" s="25">
        <v>46139</v>
      </c>
      <c r="G25" s="25">
        <v>46322</v>
      </c>
      <c r="H25" s="25">
        <v>46324</v>
      </c>
      <c r="I25" s="19" t="s">
        <v>298</v>
      </c>
      <c r="J25" s="19" t="s">
        <v>58</v>
      </c>
      <c r="K25" s="19" t="str">
        <f>VLOOKUP(J25,Tickers!A:B,2,FALSE)</f>
        <v>网易</v>
      </c>
      <c r="L25" s="26">
        <v>80</v>
      </c>
      <c r="M25" s="26">
        <v>11.83</v>
      </c>
      <c r="N25" s="20" t="s">
        <v>189</v>
      </c>
      <c r="O25" s="26">
        <v>100</v>
      </c>
      <c r="P25" s="20" t="s">
        <v>190</v>
      </c>
      <c r="Q25" s="21">
        <v>1</v>
      </c>
      <c r="R25" s="26" t="s">
        <v>191</v>
      </c>
      <c r="S25" s="21" t="s">
        <v>192</v>
      </c>
      <c r="T25" s="21" t="s">
        <v>277</v>
      </c>
      <c r="U25" s="21" t="s">
        <v>194</v>
      </c>
      <c r="V25" s="27">
        <v>99</v>
      </c>
    </row>
    <row r="26" spans="1:22" ht="45">
      <c r="A26" s="20" t="s">
        <v>258</v>
      </c>
      <c r="B26" s="20" t="s">
        <v>185</v>
      </c>
      <c r="C26" s="20" t="s">
        <v>244</v>
      </c>
      <c r="D26" s="20" t="s">
        <v>187</v>
      </c>
      <c r="E26" s="25">
        <v>46125</v>
      </c>
      <c r="F26" s="25">
        <v>46139</v>
      </c>
      <c r="G26" s="25">
        <v>46322</v>
      </c>
      <c r="H26" s="25">
        <v>46324</v>
      </c>
      <c r="I26" s="19" t="s">
        <v>259</v>
      </c>
      <c r="J26" s="19" t="s">
        <v>99</v>
      </c>
      <c r="K26" s="19" t="str">
        <f>VLOOKUP(J26,Tickers!A:B,2,FALSE)</f>
        <v>亚马逊</v>
      </c>
      <c r="L26" s="26">
        <v>80</v>
      </c>
      <c r="M26" s="26">
        <v>11.55</v>
      </c>
      <c r="N26" s="20" t="s">
        <v>189</v>
      </c>
      <c r="O26" s="26">
        <v>100</v>
      </c>
      <c r="P26" s="20" t="s">
        <v>190</v>
      </c>
      <c r="Q26" s="21">
        <v>1</v>
      </c>
      <c r="R26" s="26" t="s">
        <v>191</v>
      </c>
      <c r="S26" s="21" t="s">
        <v>192</v>
      </c>
      <c r="T26" s="21" t="s">
        <v>246</v>
      </c>
      <c r="U26" s="21" t="s">
        <v>234</v>
      </c>
      <c r="V26" s="27">
        <v>99</v>
      </c>
    </row>
    <row r="27" spans="1:22" ht="60">
      <c r="A27" s="20" t="s">
        <v>293</v>
      </c>
      <c r="B27" s="20" t="s">
        <v>185</v>
      </c>
      <c r="C27" s="20" t="s">
        <v>244</v>
      </c>
      <c r="D27" s="20" t="s">
        <v>187</v>
      </c>
      <c r="E27" s="25">
        <v>46125</v>
      </c>
      <c r="F27" s="25">
        <v>46139</v>
      </c>
      <c r="G27" s="25">
        <v>46322</v>
      </c>
      <c r="H27" s="25">
        <v>46324</v>
      </c>
      <c r="I27" s="19" t="s">
        <v>294</v>
      </c>
      <c r="J27" s="19" t="s">
        <v>146</v>
      </c>
      <c r="K27" s="19" t="str">
        <f>VLOOKUP(J27,Tickers!A:B,2,FALSE)</f>
        <v>摩根士丹利</v>
      </c>
      <c r="L27" s="26">
        <v>80</v>
      </c>
      <c r="M27" s="26">
        <v>11.39</v>
      </c>
      <c r="N27" s="20" t="s">
        <v>189</v>
      </c>
      <c r="O27" s="26">
        <v>100</v>
      </c>
      <c r="P27" s="20" t="s">
        <v>190</v>
      </c>
      <c r="Q27" s="21">
        <v>1</v>
      </c>
      <c r="R27" s="26" t="s">
        <v>191</v>
      </c>
      <c r="S27" s="21" t="s">
        <v>192</v>
      </c>
      <c r="T27" s="21" t="s">
        <v>246</v>
      </c>
      <c r="U27" s="21" t="s">
        <v>234</v>
      </c>
      <c r="V27" s="27">
        <v>99</v>
      </c>
    </row>
    <row r="28" spans="1:22" ht="45">
      <c r="A28" s="20" t="s">
        <v>299</v>
      </c>
      <c r="B28" s="20" t="s">
        <v>185</v>
      </c>
      <c r="C28" s="20" t="s">
        <v>244</v>
      </c>
      <c r="D28" s="20" t="s">
        <v>187</v>
      </c>
      <c r="E28" s="25">
        <v>46125</v>
      </c>
      <c r="F28" s="25">
        <v>46139</v>
      </c>
      <c r="G28" s="25">
        <v>46322</v>
      </c>
      <c r="H28" s="25">
        <v>46324</v>
      </c>
      <c r="I28" s="19" t="s">
        <v>300</v>
      </c>
      <c r="J28" s="19" t="s">
        <v>70</v>
      </c>
      <c r="K28" s="19" t="str">
        <f>VLOOKUP(J28,Tickers!A:B,2,FALSE)</f>
        <v>网飞</v>
      </c>
      <c r="L28" s="26">
        <v>80</v>
      </c>
      <c r="M28" s="26">
        <v>10.65</v>
      </c>
      <c r="N28" s="20" t="s">
        <v>189</v>
      </c>
      <c r="O28" s="26">
        <v>100</v>
      </c>
      <c r="P28" s="20" t="s">
        <v>190</v>
      </c>
      <c r="Q28" s="21">
        <v>1</v>
      </c>
      <c r="R28" s="26" t="s">
        <v>191</v>
      </c>
      <c r="S28" s="21" t="s">
        <v>192</v>
      </c>
      <c r="T28" s="21" t="s">
        <v>252</v>
      </c>
      <c r="U28" s="21" t="s">
        <v>253</v>
      </c>
      <c r="V28" s="27">
        <v>99</v>
      </c>
    </row>
    <row r="29" spans="1:22" ht="45">
      <c r="A29" s="20" t="s">
        <v>260</v>
      </c>
      <c r="B29" s="20" t="s">
        <v>185</v>
      </c>
      <c r="C29" s="20" t="s">
        <v>244</v>
      </c>
      <c r="D29" s="20" t="s">
        <v>187</v>
      </c>
      <c r="E29" s="25">
        <v>46125</v>
      </c>
      <c r="F29" s="25">
        <v>46139</v>
      </c>
      <c r="G29" s="25">
        <v>46322</v>
      </c>
      <c r="H29" s="25">
        <v>46324</v>
      </c>
      <c r="I29" s="19" t="s">
        <v>261</v>
      </c>
      <c r="J29" s="19" t="s">
        <v>100</v>
      </c>
      <c r="K29" s="19" t="str">
        <f>VLOOKUP(J29,Tickers!A:B,2,FALSE)</f>
        <v>谷歌</v>
      </c>
      <c r="L29" s="26">
        <v>80</v>
      </c>
      <c r="M29" s="26">
        <v>9.99</v>
      </c>
      <c r="N29" s="20" t="s">
        <v>189</v>
      </c>
      <c r="O29" s="26">
        <v>100</v>
      </c>
      <c r="P29" s="20" t="s">
        <v>190</v>
      </c>
      <c r="Q29" s="21">
        <v>1</v>
      </c>
      <c r="R29" s="26" t="s">
        <v>191</v>
      </c>
      <c r="S29" s="21" t="s">
        <v>192</v>
      </c>
      <c r="T29" s="21" t="s">
        <v>246</v>
      </c>
      <c r="U29" s="21" t="s">
        <v>234</v>
      </c>
      <c r="V29" s="27">
        <v>99</v>
      </c>
    </row>
    <row r="30" spans="1:22" ht="45">
      <c r="A30" s="20" t="s">
        <v>284</v>
      </c>
      <c r="B30" s="20" t="s">
        <v>185</v>
      </c>
      <c r="C30" s="20" t="s">
        <v>244</v>
      </c>
      <c r="D30" s="20" t="s">
        <v>187</v>
      </c>
      <c r="E30" s="25">
        <v>46125</v>
      </c>
      <c r="F30" s="25">
        <v>46139</v>
      </c>
      <c r="G30" s="25">
        <v>46322</v>
      </c>
      <c r="H30" s="25">
        <v>46324</v>
      </c>
      <c r="I30" s="19" t="s">
        <v>285</v>
      </c>
      <c r="J30" s="19" t="s">
        <v>121</v>
      </c>
      <c r="K30" s="19" t="str">
        <f>VLOOKUP(J30,Tickers!A:B,2,FALSE)</f>
        <v>高盛</v>
      </c>
      <c r="L30" s="26">
        <v>80</v>
      </c>
      <c r="M30" s="26">
        <v>9.83</v>
      </c>
      <c r="N30" s="20" t="s">
        <v>189</v>
      </c>
      <c r="O30" s="26">
        <v>100</v>
      </c>
      <c r="P30" s="20" t="s">
        <v>190</v>
      </c>
      <c r="Q30" s="21">
        <v>1</v>
      </c>
      <c r="R30" s="26" t="s">
        <v>191</v>
      </c>
      <c r="S30" s="21" t="s">
        <v>192</v>
      </c>
      <c r="T30" s="21" t="s">
        <v>246</v>
      </c>
      <c r="U30" s="21" t="s">
        <v>234</v>
      </c>
      <c r="V30" s="27">
        <v>99</v>
      </c>
    </row>
    <row r="31" spans="1:22" ht="45">
      <c r="A31" s="20" t="s">
        <v>278</v>
      </c>
      <c r="B31" s="20" t="s">
        <v>185</v>
      </c>
      <c r="C31" s="20" t="s">
        <v>244</v>
      </c>
      <c r="D31" s="20" t="s">
        <v>187</v>
      </c>
      <c r="E31" s="25">
        <v>46125</v>
      </c>
      <c r="F31" s="25">
        <v>46139</v>
      </c>
      <c r="G31" s="25">
        <v>46322</v>
      </c>
      <c r="H31" s="25">
        <v>46324</v>
      </c>
      <c r="I31" s="19" t="s">
        <v>279</v>
      </c>
      <c r="J31" s="19" t="s">
        <v>176</v>
      </c>
      <c r="K31" s="19" t="str">
        <f>VLOOKUP(J31,Tickers!A:B,2,FALSE)</f>
        <v>美国银行</v>
      </c>
      <c r="L31" s="26">
        <v>80</v>
      </c>
      <c r="M31" s="26">
        <v>8.6999999999999993</v>
      </c>
      <c r="N31" s="20" t="s">
        <v>189</v>
      </c>
      <c r="O31" s="26">
        <v>100</v>
      </c>
      <c r="P31" s="20" t="s">
        <v>190</v>
      </c>
      <c r="Q31" s="21">
        <v>1</v>
      </c>
      <c r="R31" s="26" t="s">
        <v>191</v>
      </c>
      <c r="S31" s="21" t="s">
        <v>192</v>
      </c>
      <c r="T31" s="21" t="s">
        <v>252</v>
      </c>
      <c r="U31" s="21" t="s">
        <v>253</v>
      </c>
      <c r="V31" s="27">
        <v>99</v>
      </c>
    </row>
    <row r="32" spans="1:22" ht="45">
      <c r="A32" s="20" t="s">
        <v>250</v>
      </c>
      <c r="B32" s="20" t="s">
        <v>185</v>
      </c>
      <c r="C32" s="20" t="s">
        <v>244</v>
      </c>
      <c r="D32" s="20" t="s">
        <v>187</v>
      </c>
      <c r="E32" s="25">
        <v>46125</v>
      </c>
      <c r="F32" s="25">
        <v>46139</v>
      </c>
      <c r="G32" s="25">
        <v>46322</v>
      </c>
      <c r="H32" s="25">
        <v>46324</v>
      </c>
      <c r="I32" s="19" t="s">
        <v>251</v>
      </c>
      <c r="J32" s="19" t="s">
        <v>180</v>
      </c>
      <c r="K32" s="19" t="str">
        <f>VLOOKUP(J32,Tickers!A:B,2,FALSE)</f>
        <v>微软</v>
      </c>
      <c r="L32" s="26">
        <v>80</v>
      </c>
      <c r="M32" s="26">
        <v>8.24</v>
      </c>
      <c r="N32" s="20" t="s">
        <v>189</v>
      </c>
      <c r="O32" s="26">
        <v>100</v>
      </c>
      <c r="P32" s="20" t="s">
        <v>190</v>
      </c>
      <c r="Q32" s="21">
        <v>1</v>
      </c>
      <c r="R32" s="26" t="s">
        <v>191</v>
      </c>
      <c r="S32" s="21" t="s">
        <v>192</v>
      </c>
      <c r="T32" s="21" t="s">
        <v>252</v>
      </c>
      <c r="U32" s="21" t="s">
        <v>253</v>
      </c>
      <c r="V32" s="27">
        <v>99</v>
      </c>
    </row>
  </sheetData>
  <sortState ref="A2:X32">
    <sortCondition descending="1" ref="M2:M32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"/>
  <sheetViews>
    <sheetView tabSelected="1" topLeftCell="F1" zoomScaleNormal="100" workbookViewId="0">
      <selection activeCell="I9" sqref="I9"/>
    </sheetView>
  </sheetViews>
  <sheetFormatPr defaultColWidth="9.140625" defaultRowHeight="15"/>
  <cols>
    <col min="1" max="1" width="29.7109375" style="2" customWidth="1"/>
    <col min="2" max="2" width="9.28515625" style="2" customWidth="1"/>
    <col min="3" max="3" width="7.42578125" style="2" customWidth="1"/>
    <col min="4" max="4" width="7.140625" style="2" customWidth="1"/>
    <col min="5" max="5" width="15.42578125" style="16" bestFit="1" customWidth="1"/>
    <col min="6" max="6" width="14.42578125" style="16" bestFit="1" customWidth="1"/>
    <col min="7" max="7" width="26.5703125" style="16" bestFit="1" customWidth="1"/>
    <col min="8" max="8" width="18.85546875" style="16" bestFit="1" customWidth="1"/>
    <col min="9" max="10" width="41.42578125" style="2" bestFit="1" customWidth="1"/>
    <col min="11" max="11" width="38.28515625" style="2" bestFit="1" customWidth="1"/>
    <col min="12" max="12" width="9.85546875" style="2" customWidth="1"/>
    <col min="13" max="13" width="14.140625" style="2" customWidth="1"/>
    <col min="14" max="14" width="20.42578125" style="2" customWidth="1"/>
    <col min="15" max="15" width="9.5703125" style="2" customWidth="1"/>
    <col min="16" max="16" width="21.140625" style="2" customWidth="1"/>
    <col min="17" max="17" width="24.7109375" style="2" customWidth="1"/>
    <col min="18" max="18" width="5.7109375" style="2" customWidth="1"/>
    <col min="19" max="19" width="9" style="2" customWidth="1"/>
    <col min="20" max="20" width="36.140625" style="2" customWidth="1"/>
    <col min="21" max="21" width="12.28515625" style="2" customWidth="1"/>
    <col min="22" max="22" width="19.5703125" style="2" customWidth="1"/>
    <col min="23" max="16384" width="9.140625" style="2"/>
  </cols>
  <sheetData>
    <row r="1" spans="1:26" ht="15.75" customHeight="1">
      <c r="A1" s="10" t="s">
        <v>75</v>
      </c>
      <c r="B1" s="10" t="s">
        <v>76</v>
      </c>
      <c r="C1" s="10" t="s">
        <v>77</v>
      </c>
      <c r="D1" s="10" t="s">
        <v>78</v>
      </c>
      <c r="E1" s="15" t="s">
        <v>79</v>
      </c>
      <c r="F1" s="15" t="s">
        <v>80</v>
      </c>
      <c r="G1" s="15" t="s">
        <v>81</v>
      </c>
      <c r="H1" s="15" t="s">
        <v>82</v>
      </c>
      <c r="I1" s="12" t="s">
        <v>83</v>
      </c>
      <c r="J1" s="12" t="s">
        <v>84</v>
      </c>
      <c r="K1" s="12" t="s">
        <v>149</v>
      </c>
      <c r="L1" s="10" t="s">
        <v>86</v>
      </c>
      <c r="M1" s="10" t="s">
        <v>87</v>
      </c>
      <c r="N1" s="10" t="s">
        <v>88</v>
      </c>
      <c r="O1" s="10" t="s">
        <v>89</v>
      </c>
      <c r="P1" s="10" t="s">
        <v>90</v>
      </c>
      <c r="Q1" s="10" t="s">
        <v>91</v>
      </c>
      <c r="R1" s="10" t="s">
        <v>92</v>
      </c>
      <c r="S1" s="10" t="s">
        <v>93</v>
      </c>
      <c r="T1" s="10" t="s">
        <v>94</v>
      </c>
      <c r="U1" s="10" t="s">
        <v>95</v>
      </c>
      <c r="V1" s="11" t="s">
        <v>96</v>
      </c>
    </row>
    <row r="2" spans="1:26" s="17" customFormat="1">
      <c r="A2" s="34" t="s">
        <v>317</v>
      </c>
      <c r="B2" s="34" t="s">
        <v>185</v>
      </c>
      <c r="C2" s="34" t="s">
        <v>244</v>
      </c>
      <c r="D2" s="34" t="s">
        <v>187</v>
      </c>
      <c r="E2" s="35">
        <v>46125</v>
      </c>
      <c r="F2" s="35">
        <v>46139</v>
      </c>
      <c r="G2" s="35" t="s">
        <v>192</v>
      </c>
      <c r="H2" s="35" t="s">
        <v>192</v>
      </c>
      <c r="I2" s="34" t="s">
        <v>325</v>
      </c>
      <c r="J2" s="34" t="s">
        <v>326</v>
      </c>
      <c r="K2" s="34" t="s">
        <v>327</v>
      </c>
      <c r="L2" s="36">
        <v>79.31</v>
      </c>
      <c r="M2" s="36">
        <v>12</v>
      </c>
      <c r="N2" s="34" t="s">
        <v>189</v>
      </c>
      <c r="O2" s="36">
        <v>100</v>
      </c>
      <c r="P2" s="34" t="s">
        <v>318</v>
      </c>
      <c r="Q2" s="34">
        <v>1</v>
      </c>
      <c r="R2" s="36" t="s">
        <v>191</v>
      </c>
      <c r="S2" s="34" t="s">
        <v>192</v>
      </c>
      <c r="T2" s="34" t="s">
        <v>319</v>
      </c>
      <c r="U2" s="34" t="s">
        <v>320</v>
      </c>
      <c r="V2" s="32">
        <v>98.5</v>
      </c>
      <c r="W2" s="34"/>
      <c r="X2" s="34"/>
      <c r="Y2" s="34"/>
      <c r="Z2" s="34"/>
    </row>
    <row r="3" spans="1:26" s="17" customFormat="1">
      <c r="A3" s="22" t="s">
        <v>321</v>
      </c>
      <c r="B3" s="22" t="s">
        <v>185</v>
      </c>
      <c r="C3" s="22" t="s">
        <v>244</v>
      </c>
      <c r="D3" s="22" t="s">
        <v>187</v>
      </c>
      <c r="E3" s="28">
        <v>46125</v>
      </c>
      <c r="F3" s="28">
        <v>46139</v>
      </c>
      <c r="G3" s="28">
        <v>46322</v>
      </c>
      <c r="H3" s="28">
        <v>46324</v>
      </c>
      <c r="I3" s="22" t="s">
        <v>328</v>
      </c>
      <c r="J3" s="22" t="s">
        <v>329</v>
      </c>
      <c r="K3" s="22" t="s">
        <v>330</v>
      </c>
      <c r="L3" s="30">
        <v>78.47</v>
      </c>
      <c r="M3" s="30">
        <v>12</v>
      </c>
      <c r="N3" s="22" t="s">
        <v>189</v>
      </c>
      <c r="O3" s="30">
        <v>100</v>
      </c>
      <c r="P3" s="22" t="s">
        <v>318</v>
      </c>
      <c r="Q3" s="22">
        <v>1</v>
      </c>
      <c r="R3" s="30" t="s">
        <v>191</v>
      </c>
      <c r="S3" s="22" t="s">
        <v>192</v>
      </c>
      <c r="T3" s="22" t="s">
        <v>252</v>
      </c>
      <c r="U3" s="22" t="s">
        <v>253</v>
      </c>
      <c r="V3" s="32">
        <v>98.5</v>
      </c>
      <c r="W3" s="23"/>
      <c r="X3" s="23"/>
      <c r="Y3" s="23"/>
      <c r="Z3" s="23"/>
    </row>
    <row r="4" spans="1:26" s="17" customFormat="1">
      <c r="A4" s="22" t="s">
        <v>322</v>
      </c>
      <c r="B4" s="22" t="s">
        <v>185</v>
      </c>
      <c r="C4" s="22" t="s">
        <v>244</v>
      </c>
      <c r="D4" s="22" t="s">
        <v>187</v>
      </c>
      <c r="E4" s="28">
        <v>46125</v>
      </c>
      <c r="F4" s="28">
        <v>46139</v>
      </c>
      <c r="G4" s="28">
        <v>46322</v>
      </c>
      <c r="H4" s="28">
        <v>46324</v>
      </c>
      <c r="I4" s="22" t="s">
        <v>331</v>
      </c>
      <c r="J4" s="22" t="s">
        <v>332</v>
      </c>
      <c r="K4" s="22" t="s">
        <v>333</v>
      </c>
      <c r="L4" s="30">
        <v>75.8</v>
      </c>
      <c r="M4" s="30">
        <v>12</v>
      </c>
      <c r="N4" s="22" t="s">
        <v>189</v>
      </c>
      <c r="O4" s="30">
        <v>100</v>
      </c>
      <c r="P4" s="22" t="s">
        <v>318</v>
      </c>
      <c r="Q4" s="22">
        <v>1</v>
      </c>
      <c r="R4" s="30" t="s">
        <v>191</v>
      </c>
      <c r="S4" s="22" t="s">
        <v>192</v>
      </c>
      <c r="T4" s="22" t="s">
        <v>252</v>
      </c>
      <c r="U4" s="22" t="s">
        <v>253</v>
      </c>
      <c r="V4" s="32">
        <v>98.5</v>
      </c>
      <c r="W4" s="23"/>
      <c r="X4" s="23"/>
      <c r="Y4" s="23"/>
      <c r="Z4" s="23"/>
    </row>
    <row r="5" spans="1:26" s="17" customFormat="1" ht="12.75" customHeight="1">
      <c r="A5" s="22" t="s">
        <v>323</v>
      </c>
      <c r="B5" s="22" t="s">
        <v>185</v>
      </c>
      <c r="C5" s="22" t="s">
        <v>244</v>
      </c>
      <c r="D5" s="22" t="s">
        <v>187</v>
      </c>
      <c r="E5" s="28">
        <v>46125</v>
      </c>
      <c r="F5" s="28">
        <v>46139</v>
      </c>
      <c r="G5" s="28">
        <v>46322</v>
      </c>
      <c r="H5" s="28">
        <v>46324</v>
      </c>
      <c r="I5" s="22" t="s">
        <v>334</v>
      </c>
      <c r="J5" s="22" t="s">
        <v>335</v>
      </c>
      <c r="K5" s="22" t="s">
        <v>336</v>
      </c>
      <c r="L5" s="30">
        <v>67.78</v>
      </c>
      <c r="M5" s="30">
        <v>12</v>
      </c>
      <c r="N5" s="22" t="s">
        <v>189</v>
      </c>
      <c r="O5" s="30">
        <v>100</v>
      </c>
      <c r="P5" s="22" t="s">
        <v>318</v>
      </c>
      <c r="Q5" s="22">
        <v>1</v>
      </c>
      <c r="R5" s="30" t="s">
        <v>191</v>
      </c>
      <c r="S5" s="22" t="s">
        <v>192</v>
      </c>
      <c r="T5" s="22" t="s">
        <v>246</v>
      </c>
      <c r="U5" s="22" t="s">
        <v>198</v>
      </c>
      <c r="V5" s="32">
        <v>98.5</v>
      </c>
      <c r="W5" s="23"/>
      <c r="X5" s="23"/>
      <c r="Y5" s="23"/>
      <c r="Z5" s="23"/>
    </row>
    <row r="6" spans="1:26" s="17" customFormat="1">
      <c r="A6" s="22" t="s">
        <v>324</v>
      </c>
      <c r="B6" s="22" t="s">
        <v>185</v>
      </c>
      <c r="C6" s="22" t="s">
        <v>244</v>
      </c>
      <c r="D6" s="22" t="s">
        <v>187</v>
      </c>
      <c r="E6" s="28">
        <v>46125</v>
      </c>
      <c r="F6" s="28">
        <v>46139</v>
      </c>
      <c r="G6" s="28">
        <v>46322</v>
      </c>
      <c r="H6" s="28">
        <v>46324</v>
      </c>
      <c r="I6" s="22" t="s">
        <v>337</v>
      </c>
      <c r="J6" s="22" t="s">
        <v>338</v>
      </c>
      <c r="K6" s="22" t="s">
        <v>339</v>
      </c>
      <c r="L6" s="30">
        <v>68.94</v>
      </c>
      <c r="M6" s="30">
        <v>12</v>
      </c>
      <c r="N6" s="22" t="s">
        <v>189</v>
      </c>
      <c r="O6" s="30">
        <v>100</v>
      </c>
      <c r="P6" s="22" t="s">
        <v>318</v>
      </c>
      <c r="Q6" s="22">
        <v>1</v>
      </c>
      <c r="R6" s="30" t="s">
        <v>191</v>
      </c>
      <c r="S6" s="22" t="s">
        <v>192</v>
      </c>
      <c r="T6" s="22" t="s">
        <v>246</v>
      </c>
      <c r="U6" s="22" t="s">
        <v>198</v>
      </c>
      <c r="V6" s="32">
        <v>98.5</v>
      </c>
      <c r="W6" s="23"/>
      <c r="X6" s="23"/>
      <c r="Y6" s="23"/>
      <c r="Z6" s="23"/>
    </row>
    <row r="7" spans="1:26">
      <c r="A7" s="24"/>
      <c r="B7" s="24"/>
      <c r="C7" s="24"/>
      <c r="D7" s="24"/>
      <c r="E7" s="29"/>
      <c r="F7" s="29"/>
      <c r="G7" s="29"/>
      <c r="H7" s="29"/>
      <c r="I7" s="24"/>
      <c r="J7" s="24"/>
      <c r="K7" s="24"/>
      <c r="L7" s="31"/>
      <c r="M7" s="31"/>
      <c r="N7" s="24"/>
      <c r="O7" s="31"/>
      <c r="P7" s="24"/>
      <c r="Q7" s="24"/>
      <c r="R7" s="31"/>
      <c r="S7" s="24"/>
      <c r="T7" s="24"/>
      <c r="U7" s="24"/>
      <c r="V7" s="33"/>
      <c r="W7" s="23"/>
      <c r="X7" s="23"/>
      <c r="Y7" s="23"/>
      <c r="Z7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Tickers</vt:lpstr>
      <vt:lpstr>HKD</vt:lpstr>
      <vt:lpstr>USD</vt:lpstr>
      <vt:lpstr>今日重点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2026-04-13T00:46:32Z</dcterms:modified>
</cp:coreProperties>
</file>